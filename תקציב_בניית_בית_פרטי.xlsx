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הסבר" sheetId="1" state="visible" r:id="rId1"/>
    <sheet name="סיכום" sheetId="2" state="visible" r:id="rId2"/>
    <sheet name="תקציב מפורט" sheetId="3" state="visible" r:id="rId3"/>
    <sheet name="מימון ותזר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₪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00000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597"/>
      </patternFill>
    </fill>
    <fill>
      <patternFill patternType="solid">
        <fgColor rgb="00C55A11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0" borderId="0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9" fontId="4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10" fillId="9" borderId="1" applyAlignment="1" pivotButton="0" quotePrefix="0" xfId="0">
      <alignment horizontal="center" vertical="center"/>
    </xf>
    <xf numFmtId="0" fontId="0" fillId="0" borderId="1" pivotButton="0" quotePrefix="0" xfId="0"/>
    <xf numFmtId="9" fontId="10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 wrapText="1"/>
    </xf>
    <xf numFmtId="0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164" fontId="6" fillId="8" borderId="1" applyAlignment="1" pivotButton="0" quotePrefix="0" xfId="0">
      <alignment horizontal="right" vertical="center"/>
    </xf>
    <xf numFmtId="9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9" fontId="8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6" borderId="1" pivotButton="0" quotePrefix="0" xfId="0"/>
    <xf numFmtId="0" fontId="6" fillId="9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6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0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A1" s="1" t="inlineStr">
        <is>
          <t>תקציב לבניית בית פרטי - הסבר והוראות שימוש</t>
        </is>
      </c>
      <c r="B1" s="2" t="n"/>
    </row>
    <row r="3" ht="20" customHeight="1">
      <c r="A3" s="3" t="inlineStr"/>
      <c r="B3" s="4" t="inlineStr">
        <is>
          <t>הקובץ כולל 4 גיליונות:</t>
        </is>
      </c>
    </row>
    <row r="4" ht="20" customHeight="1">
      <c r="A4" s="3" t="inlineStr"/>
      <c r="B4" s="5" t="inlineStr">
        <is>
          <t>• הסבר - הגיליון הנוכחי: הסבר כללי והוראות שימוש.</t>
        </is>
      </c>
    </row>
    <row r="5" ht="20" customHeight="1">
      <c r="A5" s="3" t="inlineStr"/>
      <c r="B5" s="5" t="inlineStr">
        <is>
          <t>• סיכום - תמונת מצב כוללת: ריכוז לפי קטגוריות ומדדים מרכזיים. כאן מגדירים את שטח הבנייה ואת שיעור המע"מ.</t>
        </is>
      </c>
    </row>
    <row r="6" ht="20" customHeight="1">
      <c r="A6" s="3" t="inlineStr"/>
      <c r="B6" s="5" t="inlineStr">
        <is>
          <t>• תקציב מפורט - 13 קטגוריות עם כל סעיפי העלות. כאן ממלאים מחירים ומעקבים תשלומים בפועל.</t>
        </is>
      </c>
    </row>
    <row r="7" ht="20" customHeight="1">
      <c r="A7" s="3" t="inlineStr"/>
      <c r="B7" s="5" t="inlineStr">
        <is>
          <t>• מימון ותזרים - מקורות המימון (הון עצמי, משכנתא) ופריסת תשלומים חודשית.</t>
        </is>
      </c>
    </row>
    <row r="9" ht="20" customHeight="1">
      <c r="A9" s="3" t="inlineStr"/>
      <c r="B9" s="4" t="inlineStr">
        <is>
          <t>איך לעבוד עם הקובץ:</t>
        </is>
      </c>
    </row>
    <row r="10" ht="20" customHeight="1">
      <c r="A10" s="3" t="inlineStr"/>
      <c r="B10" s="5" t="inlineStr">
        <is>
          <t>• תאים בצבע צהוב מיועדים להזנה ידנית - מחירים, כמויות ותשלומים בפועל.</t>
        </is>
      </c>
    </row>
    <row r="11" ht="20" customHeight="1">
      <c r="A11" s="3" t="inlineStr"/>
      <c r="B11" s="5" t="inlineStr">
        <is>
          <t>• כל שאר התאים מחושבים אוטומטית בנוסחאות - מומלץ לא לדרוס אותם.</t>
        </is>
      </c>
    </row>
    <row r="12" ht="20" customHeight="1">
      <c r="A12" s="3" t="inlineStr"/>
      <c r="B12" s="5" t="inlineStr">
        <is>
          <t>• המע"מ מחושב אוטומטית לפי השיעור שבגיליון "סיכום" (ברירת מחדל 18%).</t>
        </is>
      </c>
    </row>
    <row r="13" ht="20" customHeight="1">
      <c r="A13" s="3" t="inlineStr"/>
      <c r="B13" s="5" t="inlineStr">
        <is>
          <t>• סעיפים המסומנים כ"מ\"ר" עם כמות מופנים לשטח הבנייה - שינוי השטח מעדכן אותם אוטומטית.</t>
        </is>
      </c>
    </row>
    <row r="14" ht="20" customHeight="1">
      <c r="A14" s="3" t="inlineStr"/>
      <c r="B14" s="5" t="inlineStr">
        <is>
          <t>• סעיפים לא רלוונטיים - השאירו מחיר 0 (לא ישפיעו על הסיכום).</t>
        </is>
      </c>
    </row>
    <row r="16" ht="20" customHeight="1">
      <c r="A16" s="3" t="inlineStr"/>
      <c r="B16" s="4" t="inlineStr">
        <is>
          <t>הערות חשובות:</t>
        </is>
      </c>
    </row>
    <row r="17" ht="20" customHeight="1">
      <c r="A17" s="3" t="inlineStr"/>
      <c r="B17" s="5" t="inlineStr">
        <is>
          <t>• כל הסכומים הם הערכות בלבד (מחירי 2026, מרכז הארץ) לבית בשטח כ-180 מ"ר - יש להתאים להצעות מחיר בפועל.</t>
        </is>
      </c>
    </row>
    <row r="18" ht="20" customHeight="1">
      <c r="A18" s="3" t="inlineStr"/>
      <c r="B18" s="5" t="inlineStr">
        <is>
          <t>• מומלץ לשמור רזרבה של 8%-12% מעלות הבנייה להוצאות בלתי-צפויות.</t>
        </is>
      </c>
    </row>
    <row r="19" ht="20" customHeight="1">
      <c r="A19" s="3" t="inlineStr"/>
      <c r="B19" s="5" t="inlineStr">
        <is>
          <t>• עלות הקרקע היא הרכיב המשתנה ביותר - עדכנו לפי המגרש הספציפי שלכם.</t>
        </is>
      </c>
    </row>
    <row r="20" ht="20" customHeight="1">
      <c r="A20" s="3" t="inlineStr"/>
      <c r="B20" s="5" t="inlineStr">
        <is>
          <t>• הקובץ אינו תחליף לייעוץ מקצועי של אדריכל, מנהל פרויקט או שמאי.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14" customWidth="1" min="5" max="5"/>
    <col width="4" customWidth="1" min="6" max="6"/>
  </cols>
  <sheetData>
    <row r="1" ht="26" customHeight="1">
      <c r="A1" s="1" t="inlineStr">
        <is>
          <t>סיכום תקציב - בניית בית פרטי</t>
        </is>
      </c>
      <c r="B1" s="2" t="n"/>
      <c r="C1" s="2" t="n"/>
      <c r="D1" s="2" t="n"/>
      <c r="E1" s="2" t="n"/>
      <c r="F1" s="2" t="n"/>
    </row>
    <row r="3">
      <c r="A3" s="6" t="inlineStr">
        <is>
          <t>הנחות יסוד ופרמטרים (ניתן לעריכה)</t>
        </is>
      </c>
      <c r="B3" s="7" t="n"/>
      <c r="C3" s="7" t="n"/>
      <c r="D3" s="7" t="n"/>
      <c r="E3" s="7" t="n"/>
      <c r="F3" s="7" t="n"/>
    </row>
    <row r="4">
      <c r="A4" s="8" t="inlineStr">
        <is>
          <t>שטח בנייה מתוכנן (מ"ר)</t>
        </is>
      </c>
      <c r="B4" s="9" t="n">
        <v>180</v>
      </c>
      <c r="C4" s="3" t="inlineStr"/>
      <c r="D4" s="3" t="inlineStr"/>
      <c r="E4" s="3" t="inlineStr"/>
      <c r="F4" s="3" t="inlineStr"/>
    </row>
    <row r="5">
      <c r="A5" s="8" t="inlineStr">
        <is>
          <t>שיעור מע"מ</t>
        </is>
      </c>
      <c r="B5" s="10" t="n">
        <v>0.18</v>
      </c>
      <c r="C5" s="3" t="inlineStr"/>
      <c r="D5" s="3" t="inlineStr"/>
      <c r="E5" s="3" t="inlineStr"/>
      <c r="F5" s="3" t="inlineStr"/>
    </row>
    <row r="6">
      <c r="A6" s="8" t="inlineStr">
        <is>
          <t>רזרבה מומלצת לבלת"מ</t>
        </is>
      </c>
      <c r="B6" s="10" t="n">
        <v>0.1</v>
      </c>
      <c r="C6" s="3" t="inlineStr"/>
      <c r="D6" s="3" t="inlineStr"/>
      <c r="E6" s="3" t="inlineStr"/>
      <c r="F6" s="3" t="inlineStr"/>
    </row>
    <row r="8">
      <c r="A8" s="6" t="inlineStr">
        <is>
          <t>ריכוז תקציב לפי קטגוריות</t>
        </is>
      </c>
      <c r="B8" s="7" t="n"/>
      <c r="C8" s="7" t="n"/>
      <c r="D8" s="7" t="n"/>
      <c r="E8" s="7" t="n"/>
      <c r="F8" s="7" t="n"/>
    </row>
    <row r="9" ht="30" customHeight="1">
      <c r="A9" s="11" t="inlineStr">
        <is>
          <t>קטגוריה</t>
        </is>
      </c>
      <c r="B9" s="11" t="inlineStr">
        <is>
          <t>מתוכנן (כולל מע"מ)</t>
        </is>
      </c>
      <c r="C9" s="11" t="inlineStr">
        <is>
          <t>שולם בפועל</t>
        </is>
      </c>
      <c r="D9" s="11" t="inlineStr">
        <is>
          <t>יתרה לתשלום</t>
        </is>
      </c>
      <c r="E9" s="11" t="inlineStr">
        <is>
          <t>% ביצוע</t>
        </is>
      </c>
    </row>
    <row r="10">
      <c r="A10" s="12" t="inlineStr">
        <is>
          <t>1. קרקע ועלויות רכישה</t>
        </is>
      </c>
      <c r="B10" s="13">
        <f>'תקציב מפורט'!G11</f>
        <v/>
      </c>
      <c r="C10" s="13">
        <f>'תקציב מפורט'!H11</f>
        <v/>
      </c>
      <c r="D10" s="13">
        <f>'תקציב מפורט'!I11</f>
        <v/>
      </c>
      <c r="E10" s="14">
        <f>IF(B10&gt;0,C10/B10,0)</f>
        <v/>
      </c>
    </row>
    <row r="11">
      <c r="A11" s="12" t="inlineStr">
        <is>
          <t>2. תכנון, ייעוץ והיתרים</t>
        </is>
      </c>
      <c r="B11" s="13">
        <f>'תקציב מפורט'!G21</f>
        <v/>
      </c>
      <c r="C11" s="13">
        <f>'תקציב מפורט'!H21</f>
        <v/>
      </c>
      <c r="D11" s="13">
        <f>'תקציב מפורט'!I21</f>
        <v/>
      </c>
      <c r="E11" s="14">
        <f>IF(B11&gt;0,C11/B11,0)</f>
        <v/>
      </c>
    </row>
    <row r="12">
      <c r="A12" s="12" t="inlineStr">
        <is>
          <t>3. עבודות עפר והכשרת קרקע</t>
        </is>
      </c>
      <c r="B12" s="13">
        <f>'תקציב מפורט'!G28</f>
        <v/>
      </c>
      <c r="C12" s="13">
        <f>'תקציב מפורט'!H28</f>
        <v/>
      </c>
      <c r="D12" s="13">
        <f>'תקציב מפורט'!I28</f>
        <v/>
      </c>
      <c r="E12" s="14">
        <f>IF(B12&gt;0,C12/B12,0)</f>
        <v/>
      </c>
    </row>
    <row r="13">
      <c r="A13" s="12" t="inlineStr">
        <is>
          <t>4. שלד ובטון</t>
        </is>
      </c>
      <c r="B13" s="13">
        <f>'תקציב מפורט'!G36</f>
        <v/>
      </c>
      <c r="C13" s="13">
        <f>'תקציב מפורט'!H36</f>
        <v/>
      </c>
      <c r="D13" s="13">
        <f>'תקציב מפורט'!I36</f>
        <v/>
      </c>
      <c r="E13" s="14">
        <f>IF(B13&gt;0,C13/B13,0)</f>
        <v/>
      </c>
    </row>
    <row r="14">
      <c r="A14" s="12" t="inlineStr">
        <is>
          <t>5. בנייה, מעטפת ואיטום</t>
        </is>
      </c>
      <c r="B14" s="13">
        <f>'תקציב מפורט'!G43</f>
        <v/>
      </c>
      <c r="C14" s="13">
        <f>'תקציב מפורט'!H43</f>
        <v/>
      </c>
      <c r="D14" s="13">
        <f>'תקציב מפורט'!I43</f>
        <v/>
      </c>
      <c r="E14" s="14">
        <f>IF(B14&gt;0,C14/B14,0)</f>
        <v/>
      </c>
    </row>
    <row r="15">
      <c r="A15" s="12" t="inlineStr">
        <is>
          <t>6. אלומיניום ונגרות חוץ</t>
        </is>
      </c>
      <c r="B15" s="13">
        <f>'תקציב מפורט'!G49</f>
        <v/>
      </c>
      <c r="C15" s="13">
        <f>'תקציב מפורט'!H49</f>
        <v/>
      </c>
      <c r="D15" s="13">
        <f>'תקציב מפורט'!I49</f>
        <v/>
      </c>
      <c r="E15" s="14">
        <f>IF(B15&gt;0,C15/B15,0)</f>
        <v/>
      </c>
    </row>
    <row r="16">
      <c r="A16" s="12" t="inlineStr">
        <is>
          <t>7. אינסטלציה ומערכות מים</t>
        </is>
      </c>
      <c r="B16" s="13">
        <f>'תקציב מפורט'!G56</f>
        <v/>
      </c>
      <c r="C16" s="13">
        <f>'תקציב מפורט'!H56</f>
        <v/>
      </c>
      <c r="D16" s="13">
        <f>'תקציב מפורט'!I56</f>
        <v/>
      </c>
      <c r="E16" s="14">
        <f>IF(B16&gt;0,C16/B16,0)</f>
        <v/>
      </c>
    </row>
    <row r="17">
      <c r="A17" s="12" t="inlineStr">
        <is>
          <t>8. חשמל, תקשורת ובית חכם</t>
        </is>
      </c>
      <c r="B17" s="13">
        <f>'תקציב מפורט'!G63</f>
        <v/>
      </c>
      <c r="C17" s="13">
        <f>'תקציב מפורט'!H63</f>
        <v/>
      </c>
      <c r="D17" s="13">
        <f>'תקציב מפורט'!I63</f>
        <v/>
      </c>
      <c r="E17" s="14">
        <f>IF(B17&gt;0,C17/B17,0)</f>
        <v/>
      </c>
    </row>
    <row r="18">
      <c r="A18" s="12" t="inlineStr">
        <is>
          <t>9. מיזוג אוויר</t>
        </is>
      </c>
      <c r="B18" s="13">
        <f>'תקציב מפורט'!G68</f>
        <v/>
      </c>
      <c r="C18" s="13">
        <f>'תקציב מפורט'!H68</f>
        <v/>
      </c>
      <c r="D18" s="13">
        <f>'תקציב מפורט'!I68</f>
        <v/>
      </c>
      <c r="E18" s="14">
        <f>IF(B18&gt;0,C18/B18,0)</f>
        <v/>
      </c>
    </row>
    <row r="19">
      <c r="A19" s="12" t="inlineStr">
        <is>
          <t>10. טיח, צבע, ריצוף וחיפוי</t>
        </is>
      </c>
      <c r="B19" s="13">
        <f>'תקציב מפורט'!G76</f>
        <v/>
      </c>
      <c r="C19" s="13">
        <f>'תקציב מפורט'!H76</f>
        <v/>
      </c>
      <c r="D19" s="13">
        <f>'תקציב מפורט'!I76</f>
        <v/>
      </c>
      <c r="E19" s="14">
        <f>IF(B19&gt;0,C19/B19,0)</f>
        <v/>
      </c>
    </row>
    <row r="20">
      <c r="A20" s="12" t="inlineStr">
        <is>
          <t>11. גמרים פנימיים</t>
        </is>
      </c>
      <c r="B20" s="13">
        <f>'תקציב מפורט'!G85</f>
        <v/>
      </c>
      <c r="C20" s="13">
        <f>'תקציב מפורט'!H85</f>
        <v/>
      </c>
      <c r="D20" s="13">
        <f>'תקציב מפורט'!I85</f>
        <v/>
      </c>
      <c r="E20" s="14">
        <f>IF(B20&gt;0,C20/B20,0)</f>
        <v/>
      </c>
    </row>
    <row r="21">
      <c r="A21" s="12" t="inlineStr">
        <is>
          <t>12. עבודות חוץ ופיתוח</t>
        </is>
      </c>
      <c r="B21" s="13">
        <f>'תקציב מפורט'!G93</f>
        <v/>
      </c>
      <c r="C21" s="13">
        <f>'תקציב מפורט'!H93</f>
        <v/>
      </c>
      <c r="D21" s="13">
        <f>'תקציב מפורט'!I93</f>
        <v/>
      </c>
      <c r="E21" s="14">
        <f>IF(B21&gt;0,C21/B21,0)</f>
        <v/>
      </c>
    </row>
    <row r="22">
      <c r="A22" s="12" t="inlineStr">
        <is>
          <t>13. ניהול, הובלה ובלת"מ</t>
        </is>
      </c>
      <c r="B22" s="13">
        <f>'תקציב מפורט'!G101</f>
        <v/>
      </c>
      <c r="C22" s="13">
        <f>'תקציב מפורט'!H101</f>
        <v/>
      </c>
      <c r="D22" s="13">
        <f>'תקציב מפורט'!I101</f>
        <v/>
      </c>
      <c r="E22" s="14">
        <f>IF(B22&gt;0,C22/B22,0)</f>
        <v/>
      </c>
    </row>
    <row r="23">
      <c r="A23" s="15" t="inlineStr">
        <is>
          <t>סה"כ כללי</t>
        </is>
      </c>
      <c r="B23" s="16">
        <f>SUM(B10:B22)</f>
        <v/>
      </c>
      <c r="C23" s="16">
        <f>SUM(C10:C22)</f>
        <v/>
      </c>
      <c r="D23" s="16">
        <f>SUM(D10:D22)</f>
        <v/>
      </c>
      <c r="E23" s="17">
        <f>IF(B23&gt;0,C23/B23,0)</f>
        <v/>
      </c>
    </row>
    <row r="25">
      <c r="A25" s="6" t="inlineStr">
        <is>
          <t>מדדים מרכזיים</t>
        </is>
      </c>
      <c r="B25" s="7" t="n"/>
      <c r="C25" s="7" t="n"/>
      <c r="D25" s="7" t="n"/>
      <c r="E25" s="7" t="n"/>
      <c r="F25" s="7" t="n"/>
    </row>
    <row r="26">
      <c r="A26" s="18" t="inlineStr">
        <is>
          <t>סה"כ תקציב הפרויקט (כולל מע"מ)</t>
        </is>
      </c>
      <c r="B26" s="19" t="n"/>
      <c r="C26" s="19" t="n"/>
      <c r="D26" s="20">
        <f>B23</f>
        <v/>
      </c>
      <c r="E26" s="21" t="n"/>
      <c r="F26" s="3" t="inlineStr"/>
    </row>
    <row r="27">
      <c r="A27" s="18" t="inlineStr">
        <is>
          <t>סה"כ שולם עד כה</t>
        </is>
      </c>
      <c r="B27" s="19" t="n"/>
      <c r="C27" s="19" t="n"/>
      <c r="D27" s="20">
        <f>C23</f>
        <v/>
      </c>
      <c r="E27" s="21" t="n"/>
      <c r="F27" s="3" t="inlineStr"/>
    </row>
    <row r="28">
      <c r="A28" s="18" t="inlineStr">
        <is>
          <t>יתרה לתשלום</t>
        </is>
      </c>
      <c r="B28" s="19" t="n"/>
      <c r="C28" s="19" t="n"/>
      <c r="D28" s="20">
        <f>D23</f>
        <v/>
      </c>
      <c r="E28" s="21" t="n"/>
      <c r="F28" s="3" t="inlineStr"/>
    </row>
    <row r="29">
      <c r="A29" s="18" t="inlineStr">
        <is>
          <t>אחוז התקדמות כספי</t>
        </is>
      </c>
      <c r="B29" s="19" t="n"/>
      <c r="C29" s="19" t="n"/>
      <c r="D29" s="22">
        <f>E23</f>
        <v/>
      </c>
      <c r="E29" s="21" t="n"/>
      <c r="F29" s="3" t="inlineStr"/>
    </row>
    <row r="30">
      <c r="A30" s="18" t="inlineStr">
        <is>
          <t>עלות למ"ר (כולל מע"מ)</t>
        </is>
      </c>
      <c r="B30" s="19" t="n"/>
      <c r="C30" s="19" t="n"/>
      <c r="D30" s="20">
        <f>IF(B4&gt;0,B23/B4,0)</f>
        <v/>
      </c>
      <c r="E30" s="21" t="n"/>
      <c r="F30" s="3" t="inlineStr"/>
    </row>
  </sheetData>
  <mergeCells count="14">
    <mergeCell ref="A28:C28"/>
    <mergeCell ref="D30:E30"/>
    <mergeCell ref="A29:C29"/>
    <mergeCell ref="A1:F1"/>
    <mergeCell ref="D27:E27"/>
    <mergeCell ref="D29:E29"/>
    <mergeCell ref="A8:F8"/>
    <mergeCell ref="A27:C27"/>
    <mergeCell ref="D28:E28"/>
    <mergeCell ref="A30:C30"/>
    <mergeCell ref="A3:F3"/>
    <mergeCell ref="D26:E26"/>
    <mergeCell ref="A26:C2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K10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9" customWidth="1" min="3" max="3"/>
    <col width="17" customWidth="1" min="4" max="4"/>
    <col width="18" customWidth="1" min="5" max="5"/>
    <col width="14" customWidth="1" min="6" max="6"/>
    <col width="19" customWidth="1" min="7" max="7"/>
    <col width="16" customWidth="1" min="8" max="8"/>
    <col width="16" customWidth="1" min="9" max="9"/>
    <col width="11" customWidth="1" min="10" max="10"/>
    <col width="30" customWidth="1" min="11" max="11"/>
  </cols>
  <sheetData>
    <row r="1" ht="26" customHeight="1">
      <c r="A1" s="1" t="inlineStr">
        <is>
          <t>תקציב מפורט - בניית בית פרטי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3" t="inlineStr">
        <is>
          <t>תאים צהובים = להזנה ידנית | שאר התאים מחושבים אוטומטית | המע"מ לפי השיעור בגיליון "סיכום"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</row>
    <row r="4" ht="38" customHeight="1">
      <c r="A4" s="25" t="inlineStr">
        <is>
          <t>סעיף</t>
        </is>
      </c>
      <c r="B4" s="25" t="inlineStr">
        <is>
          <t>יחידה</t>
        </is>
      </c>
      <c r="C4" s="25" t="inlineStr">
        <is>
          <t>כמות</t>
        </is>
      </c>
      <c r="D4" s="25" t="inlineStr">
        <is>
          <t>מחיר ליח' (ללא מע"מ)</t>
        </is>
      </c>
      <c r="E4" s="25" t="inlineStr">
        <is>
          <t>עלות מתוכננת (ללא מע"מ)</t>
        </is>
      </c>
      <c r="F4" s="25" t="inlineStr">
        <is>
          <t>מע"מ</t>
        </is>
      </c>
      <c r="G4" s="25" t="inlineStr">
        <is>
          <t>סה"כ מתוכנן (כולל מע"מ)</t>
        </is>
      </c>
      <c r="H4" s="25" t="inlineStr">
        <is>
          <t>שולם בפועל</t>
        </is>
      </c>
      <c r="I4" s="25" t="inlineStr">
        <is>
          <t>יתרה לתשלום</t>
        </is>
      </c>
      <c r="J4" s="25" t="inlineStr">
        <is>
          <t>% ביצוע</t>
        </is>
      </c>
      <c r="K4" s="25" t="inlineStr">
        <is>
          <t>הערות</t>
        </is>
      </c>
    </row>
    <row r="5" ht="20" customHeight="1">
      <c r="A5" s="6" t="inlineStr">
        <is>
          <t>1. קרקע ועלויות רכישה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12" t="inlineStr">
        <is>
          <t>עלות המגרש / הקרקע</t>
        </is>
      </c>
      <c r="B6" s="26" t="inlineStr">
        <is>
          <t>קומפלט</t>
        </is>
      </c>
      <c r="C6" s="27" t="n">
        <v>1</v>
      </c>
      <c r="D6" s="28" t="n">
        <v>900000</v>
      </c>
      <c r="E6" s="29">
        <f>C6*D6</f>
        <v/>
      </c>
      <c r="F6" s="29">
        <f>E6*'סיכום'!$B$5</f>
        <v/>
      </c>
      <c r="G6" s="30">
        <f>E6+F6</f>
        <v/>
      </c>
      <c r="H6" s="28" t="n">
        <v>0</v>
      </c>
      <c r="I6" s="13">
        <f>G6-H6</f>
        <v/>
      </c>
      <c r="J6" s="14">
        <f>IF(G6&gt;0,H6/G6,0)</f>
        <v/>
      </c>
      <c r="K6" s="31" t="inlineStr">
        <is>
          <t>משתנה מאוד לפי אזור ומיקום</t>
        </is>
      </c>
    </row>
    <row r="7">
      <c r="A7" s="12" t="inlineStr">
        <is>
          <t>מס רכישה</t>
        </is>
      </c>
      <c r="B7" s="26" t="inlineStr">
        <is>
          <t>קומפלט</t>
        </is>
      </c>
      <c r="C7" s="27" t="n">
        <v>1</v>
      </c>
      <c r="D7" s="28" t="n">
        <v>32000</v>
      </c>
      <c r="E7" s="29">
        <f>C7*D7</f>
        <v/>
      </c>
      <c r="F7" s="29">
        <f>E7*'סיכום'!$B$5</f>
        <v/>
      </c>
      <c r="G7" s="30">
        <f>E7+F7</f>
        <v/>
      </c>
      <c r="H7" s="28" t="n">
        <v>0</v>
      </c>
      <c r="I7" s="13">
        <f>G7-H7</f>
        <v/>
      </c>
      <c r="J7" s="14">
        <f>IF(G7&gt;0,H7/G7,0)</f>
        <v/>
      </c>
      <c r="K7" s="31" t="inlineStr">
        <is>
          <t>לפי מדרגות שווי</t>
        </is>
      </c>
    </row>
    <row r="8">
      <c r="A8" s="12" t="inlineStr">
        <is>
          <t>שכ"ט עו"ד, אגרות ורישום בטאבו</t>
        </is>
      </c>
      <c r="B8" s="26" t="inlineStr">
        <is>
          <t>קומפלט</t>
        </is>
      </c>
      <c r="C8" s="27" t="n">
        <v>1</v>
      </c>
      <c r="D8" s="28" t="n">
        <v>15000</v>
      </c>
      <c r="E8" s="29">
        <f>C8*D8</f>
        <v/>
      </c>
      <c r="F8" s="29">
        <f>E8*'סיכום'!$B$5</f>
        <v/>
      </c>
      <c r="G8" s="30">
        <f>E8+F8</f>
        <v/>
      </c>
      <c r="H8" s="28" t="n">
        <v>0</v>
      </c>
      <c r="I8" s="13">
        <f>G8-H8</f>
        <v/>
      </c>
      <c r="J8" s="14">
        <f>IF(G8&gt;0,H8/G8,0)</f>
        <v/>
      </c>
      <c r="K8" s="31" t="inlineStr"/>
    </row>
    <row r="9">
      <c r="A9" s="12" t="inlineStr">
        <is>
          <t>דמי תיווך</t>
        </is>
      </c>
      <c r="B9" s="26" t="inlineStr">
        <is>
          <t>קומפלט</t>
        </is>
      </c>
      <c r="C9" s="27" t="n">
        <v>1</v>
      </c>
      <c r="D9" s="28" t="n">
        <v>0</v>
      </c>
      <c r="E9" s="29">
        <f>C9*D9</f>
        <v/>
      </c>
      <c r="F9" s="29">
        <f>E9*'סיכום'!$B$5</f>
        <v/>
      </c>
      <c r="G9" s="30">
        <f>E9+F9</f>
        <v/>
      </c>
      <c r="H9" s="28" t="n">
        <v>0</v>
      </c>
      <c r="I9" s="13">
        <f>G9-H9</f>
        <v/>
      </c>
      <c r="J9" s="14">
        <f>IF(G9&gt;0,H9/G9,0)</f>
        <v/>
      </c>
      <c r="K9" s="31" t="inlineStr">
        <is>
          <t>אם רלוונטי</t>
        </is>
      </c>
    </row>
    <row r="10">
      <c r="A10" s="12" t="inlineStr">
        <is>
          <t>מדידה, מפה טופוגרפית ובדיקת קרקע</t>
        </is>
      </c>
      <c r="B10" s="26" t="inlineStr">
        <is>
          <t>קומפלט</t>
        </is>
      </c>
      <c r="C10" s="27" t="n">
        <v>1</v>
      </c>
      <c r="D10" s="28" t="n">
        <v>9000</v>
      </c>
      <c r="E10" s="29">
        <f>C10*D10</f>
        <v/>
      </c>
      <c r="F10" s="29">
        <f>E10*'סיכום'!$B$5</f>
        <v/>
      </c>
      <c r="G10" s="30">
        <f>E10+F10</f>
        <v/>
      </c>
      <c r="H10" s="28" t="n">
        <v>0</v>
      </c>
      <c r="I10" s="13">
        <f>G10-H10</f>
        <v/>
      </c>
      <c r="J10" s="14">
        <f>IF(G10&gt;0,H10/G10,0)</f>
        <v/>
      </c>
      <c r="K10" s="31" t="inlineStr"/>
    </row>
    <row r="11">
      <c r="A11" s="32" t="inlineStr">
        <is>
          <t>סה"כ 1. קרקע ועלויות רכישה</t>
        </is>
      </c>
      <c r="B11" s="33" t="n"/>
      <c r="C11" s="33" t="n"/>
      <c r="D11" s="33" t="n"/>
      <c r="E11" s="34">
        <f>SUM(E6:E10)</f>
        <v/>
      </c>
      <c r="F11" s="34">
        <f>SUM(F6:F10)</f>
        <v/>
      </c>
      <c r="G11" s="34">
        <f>SUM(G6:G10)</f>
        <v/>
      </c>
      <c r="H11" s="34">
        <f>SUM(H6:H10)</f>
        <v/>
      </c>
      <c r="I11" s="34">
        <f>SUM(I6:I10)</f>
        <v/>
      </c>
      <c r="J11" s="35">
        <f>IF(G11&gt;0,H11/G11,0)</f>
        <v/>
      </c>
      <c r="K11" s="36" t="inlineStr"/>
    </row>
    <row r="12">
      <c r="A12" s="3" t="inlineStr"/>
    </row>
    <row r="13" ht="20" customHeight="1">
      <c r="A13" s="6" t="inlineStr">
        <is>
          <t>2. תכנון, ייעוץ והיתרים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12" t="inlineStr">
        <is>
          <t>תכנון אדריכלי</t>
        </is>
      </c>
      <c r="B14" s="26" t="inlineStr">
        <is>
          <t>קומפלט</t>
        </is>
      </c>
      <c r="C14" s="27" t="n">
        <v>1</v>
      </c>
      <c r="D14" s="28" t="n">
        <v>55000</v>
      </c>
      <c r="E14" s="29">
        <f>C14*D14</f>
        <v/>
      </c>
      <c r="F14" s="29">
        <f>E14*'סיכום'!$B$5</f>
        <v/>
      </c>
      <c r="G14" s="30">
        <f>E14+F14</f>
        <v/>
      </c>
      <c r="H14" s="28" t="n">
        <v>0</v>
      </c>
      <c r="I14" s="13">
        <f>G14-H14</f>
        <v/>
      </c>
      <c r="J14" s="14">
        <f>IF(G14&gt;0,H14/G14,0)</f>
        <v/>
      </c>
      <c r="K14" s="31" t="inlineStr"/>
    </row>
    <row r="15">
      <c r="A15" s="12" t="inlineStr">
        <is>
          <t>מהנדס קונסטרוקציה</t>
        </is>
      </c>
      <c r="B15" s="26" t="inlineStr">
        <is>
          <t>קומפלט</t>
        </is>
      </c>
      <c r="C15" s="27" t="n">
        <v>1</v>
      </c>
      <c r="D15" s="28" t="n">
        <v>20000</v>
      </c>
      <c r="E15" s="29">
        <f>C15*D15</f>
        <v/>
      </c>
      <c r="F15" s="29">
        <f>E15*'סיכום'!$B$5</f>
        <v/>
      </c>
      <c r="G15" s="30">
        <f>E15+F15</f>
        <v/>
      </c>
      <c r="H15" s="28" t="n">
        <v>0</v>
      </c>
      <c r="I15" s="13">
        <f>G15-H15</f>
        <v/>
      </c>
      <c r="J15" s="14">
        <f>IF(G15&gt;0,H15/G15,0)</f>
        <v/>
      </c>
      <c r="K15" s="31" t="inlineStr"/>
    </row>
    <row r="16">
      <c r="A16" s="12" t="inlineStr">
        <is>
          <t>יועצים (קרקע, אינסטלציה, חשמל, בטיחות)</t>
        </is>
      </c>
      <c r="B16" s="26" t="inlineStr">
        <is>
          <t>קומפלט</t>
        </is>
      </c>
      <c r="C16" s="27" t="n">
        <v>1</v>
      </c>
      <c r="D16" s="28" t="n">
        <v>22000</v>
      </c>
      <c r="E16" s="29">
        <f>C16*D16</f>
        <v/>
      </c>
      <c r="F16" s="29">
        <f>E16*'סיכום'!$B$5</f>
        <v/>
      </c>
      <c r="G16" s="30">
        <f>E16+F16</f>
        <v/>
      </c>
      <c r="H16" s="28" t="n">
        <v>0</v>
      </c>
      <c r="I16" s="13">
        <f>G16-H16</f>
        <v/>
      </c>
      <c r="J16" s="14">
        <f>IF(G16&gt;0,H16/G16,0)</f>
        <v/>
      </c>
      <c r="K16" s="31" t="inlineStr"/>
    </row>
    <row r="17">
      <c r="A17" s="12" t="inlineStr">
        <is>
          <t>אגרות בנייה והיתר בנייה</t>
        </is>
      </c>
      <c r="B17" s="26" t="inlineStr">
        <is>
          <t>קומפלט</t>
        </is>
      </c>
      <c r="C17" s="27" t="n">
        <v>1</v>
      </c>
      <c r="D17" s="28" t="n">
        <v>45000</v>
      </c>
      <c r="E17" s="29">
        <f>C17*D17</f>
        <v/>
      </c>
      <c r="F17" s="29">
        <f>E17*'סיכום'!$B$5</f>
        <v/>
      </c>
      <c r="G17" s="30">
        <f>E17+F17</f>
        <v/>
      </c>
      <c r="H17" s="28" t="n">
        <v>0</v>
      </c>
      <c r="I17" s="13">
        <f>G17-H17</f>
        <v/>
      </c>
      <c r="J17" s="14">
        <f>IF(G17&gt;0,H17/G17,0)</f>
        <v/>
      </c>
      <c r="K17" s="31" t="inlineStr">
        <is>
          <t>תלוי רשות מקומית</t>
        </is>
      </c>
    </row>
    <row r="18">
      <c r="A18" s="12" t="inlineStr">
        <is>
          <t>היטל השבחה</t>
        </is>
      </c>
      <c r="B18" s="26" t="inlineStr">
        <is>
          <t>קומפלט</t>
        </is>
      </c>
      <c r="C18" s="27" t="n">
        <v>1</v>
      </c>
      <c r="D18" s="28" t="n">
        <v>0</v>
      </c>
      <c r="E18" s="29">
        <f>C18*D18</f>
        <v/>
      </c>
      <c r="F18" s="29">
        <f>E18*'סיכום'!$B$5</f>
        <v/>
      </c>
      <c r="G18" s="30">
        <f>E18+F18</f>
        <v/>
      </c>
      <c r="H18" s="28" t="n">
        <v>0</v>
      </c>
      <c r="I18" s="13">
        <f>G18-H18</f>
        <v/>
      </c>
      <c r="J18" s="14">
        <f>IF(G18&gt;0,H18/G18,0)</f>
        <v/>
      </c>
      <c r="K18" s="31" t="inlineStr">
        <is>
          <t>אם חל</t>
        </is>
      </c>
    </row>
    <row r="19">
      <c r="A19" s="12" t="inlineStr">
        <is>
          <t>חיבורי תשתית (חשמל, מים, ביוב, גז)</t>
        </is>
      </c>
      <c r="B19" s="26" t="inlineStr">
        <is>
          <t>קומפלט</t>
        </is>
      </c>
      <c r="C19" s="27" t="n">
        <v>1</v>
      </c>
      <c r="D19" s="28" t="n">
        <v>45000</v>
      </c>
      <c r="E19" s="29">
        <f>C19*D19</f>
        <v/>
      </c>
      <c r="F19" s="29">
        <f>E19*'סיכום'!$B$5</f>
        <v/>
      </c>
      <c r="G19" s="30">
        <f>E19+F19</f>
        <v/>
      </c>
      <c r="H19" s="28" t="n">
        <v>0</v>
      </c>
      <c r="I19" s="13">
        <f>G19-H19</f>
        <v/>
      </c>
      <c r="J19" s="14">
        <f>IF(G19&gt;0,H19/G19,0)</f>
        <v/>
      </c>
      <c r="K19" s="31" t="inlineStr"/>
    </row>
    <row r="20">
      <c r="A20" s="12" t="inlineStr">
        <is>
          <t>ניהול ופיקוח הנדסי / מנהל פרויקט</t>
        </is>
      </c>
      <c r="B20" s="26" t="inlineStr">
        <is>
          <t>קומפלט</t>
        </is>
      </c>
      <c r="C20" s="27" t="n">
        <v>1</v>
      </c>
      <c r="D20" s="28" t="n">
        <v>65000</v>
      </c>
      <c r="E20" s="29">
        <f>C20*D20</f>
        <v/>
      </c>
      <c r="F20" s="29">
        <f>E20*'סיכום'!$B$5</f>
        <v/>
      </c>
      <c r="G20" s="30">
        <f>E20+F20</f>
        <v/>
      </c>
      <c r="H20" s="28" t="n">
        <v>0</v>
      </c>
      <c r="I20" s="13">
        <f>G20-H20</f>
        <v/>
      </c>
      <c r="J20" s="14">
        <f>IF(G20&gt;0,H20/G20,0)</f>
        <v/>
      </c>
      <c r="K20" s="31" t="inlineStr"/>
    </row>
    <row r="21">
      <c r="A21" s="32" t="inlineStr">
        <is>
          <t>סה"כ 2. תכנון, ייעוץ והיתרים</t>
        </is>
      </c>
      <c r="B21" s="33" t="n"/>
      <c r="C21" s="33" t="n"/>
      <c r="D21" s="33" t="n"/>
      <c r="E21" s="34">
        <f>SUM(E14:E20)</f>
        <v/>
      </c>
      <c r="F21" s="34">
        <f>SUM(F14:F20)</f>
        <v/>
      </c>
      <c r="G21" s="34">
        <f>SUM(G14:G20)</f>
        <v/>
      </c>
      <c r="H21" s="34">
        <f>SUM(H14:H20)</f>
        <v/>
      </c>
      <c r="I21" s="34">
        <f>SUM(I14:I20)</f>
        <v/>
      </c>
      <c r="J21" s="35">
        <f>IF(G21&gt;0,H21/G21,0)</f>
        <v/>
      </c>
      <c r="K21" s="36" t="inlineStr"/>
    </row>
    <row r="22">
      <c r="A22" s="3" t="inlineStr"/>
    </row>
    <row r="23" ht="20" customHeight="1">
      <c r="A23" s="6" t="inlineStr">
        <is>
          <t>3. עבודות עפר והכשרת קרקע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12" t="inlineStr">
        <is>
          <t>חפירה, יישור ופינוי עודף</t>
        </is>
      </c>
      <c r="B24" s="26" t="inlineStr">
        <is>
          <t>מ"ר</t>
        </is>
      </c>
      <c r="C24" s="27" t="n">
        <v>250</v>
      </c>
      <c r="D24" s="28" t="n">
        <v>55</v>
      </c>
      <c r="E24" s="29">
        <f>C24*D24</f>
        <v/>
      </c>
      <c r="F24" s="29">
        <f>E24*'סיכום'!$B$5</f>
        <v/>
      </c>
      <c r="G24" s="30">
        <f>E24+F24</f>
        <v/>
      </c>
      <c r="H24" s="28" t="n">
        <v>0</v>
      </c>
      <c r="I24" s="13">
        <f>G24-H24</f>
        <v/>
      </c>
      <c r="J24" s="14">
        <f>IF(G24&gt;0,H24/G24,0)</f>
        <v/>
      </c>
      <c r="K24" s="31" t="inlineStr"/>
    </row>
    <row r="25">
      <c r="A25" s="12" t="inlineStr">
        <is>
          <t>מילוי מובא והידוק</t>
        </is>
      </c>
      <c r="B25" s="26" t="inlineStr">
        <is>
          <t>מ"ק</t>
        </is>
      </c>
      <c r="C25" s="27" t="n">
        <v>120</v>
      </c>
      <c r="D25" s="28" t="n">
        <v>90</v>
      </c>
      <c r="E25" s="29">
        <f>C25*D25</f>
        <v/>
      </c>
      <c r="F25" s="29">
        <f>E25*'סיכום'!$B$5</f>
        <v/>
      </c>
      <c r="G25" s="30">
        <f>E25+F25</f>
        <v/>
      </c>
      <c r="H25" s="28" t="n">
        <v>0</v>
      </c>
      <c r="I25" s="13">
        <f>G25-H25</f>
        <v/>
      </c>
      <c r="J25" s="14">
        <f>IF(G25&gt;0,H25/G25,0)</f>
        <v/>
      </c>
      <c r="K25" s="31" t="inlineStr"/>
    </row>
    <row r="26">
      <c r="A26" s="12" t="inlineStr">
        <is>
          <t>דיפון / קירות תמך</t>
        </is>
      </c>
      <c r="B26" s="26" t="inlineStr">
        <is>
          <t>מ"ר</t>
        </is>
      </c>
      <c r="C26" s="27" t="n">
        <v>0</v>
      </c>
      <c r="D26" s="28" t="n">
        <v>350</v>
      </c>
      <c r="E26" s="29">
        <f>C26*D26</f>
        <v/>
      </c>
      <c r="F26" s="29">
        <f>E26*'סיכום'!$B$5</f>
        <v/>
      </c>
      <c r="G26" s="30">
        <f>E26+F26</f>
        <v/>
      </c>
      <c r="H26" s="28" t="n">
        <v>0</v>
      </c>
      <c r="I26" s="13">
        <f>G26-H26</f>
        <v/>
      </c>
      <c r="J26" s="14">
        <f>IF(G26&gt;0,H26/G26,0)</f>
        <v/>
      </c>
      <c r="K26" s="31" t="inlineStr">
        <is>
          <t>רק אם נדרש טופוגרפית</t>
        </is>
      </c>
    </row>
    <row r="27">
      <c r="A27" s="12" t="inlineStr">
        <is>
          <t>התארגנות אתר (גידור, חיבור זמני)</t>
        </is>
      </c>
      <c r="B27" s="26" t="inlineStr">
        <is>
          <t>קומפלט</t>
        </is>
      </c>
      <c r="C27" s="27" t="n">
        <v>1</v>
      </c>
      <c r="D27" s="28" t="n">
        <v>12000</v>
      </c>
      <c r="E27" s="29">
        <f>C27*D27</f>
        <v/>
      </c>
      <c r="F27" s="29">
        <f>E27*'סיכום'!$B$5</f>
        <v/>
      </c>
      <c r="G27" s="30">
        <f>E27+F27</f>
        <v/>
      </c>
      <c r="H27" s="28" t="n">
        <v>0</v>
      </c>
      <c r="I27" s="13">
        <f>G27-H27</f>
        <v/>
      </c>
      <c r="J27" s="14">
        <f>IF(G27&gt;0,H27/G27,0)</f>
        <v/>
      </c>
      <c r="K27" s="31" t="inlineStr"/>
    </row>
    <row r="28">
      <c r="A28" s="32" t="inlineStr">
        <is>
          <t>סה"כ 3. עבודות עפר והכשרת קרקע</t>
        </is>
      </c>
      <c r="B28" s="33" t="n"/>
      <c r="C28" s="33" t="n"/>
      <c r="D28" s="33" t="n"/>
      <c r="E28" s="34">
        <f>SUM(E24:E27)</f>
        <v/>
      </c>
      <c r="F28" s="34">
        <f>SUM(F24:F27)</f>
        <v/>
      </c>
      <c r="G28" s="34">
        <f>SUM(G24:G27)</f>
        <v/>
      </c>
      <c r="H28" s="34">
        <f>SUM(H24:H27)</f>
        <v/>
      </c>
      <c r="I28" s="34">
        <f>SUM(I24:I27)</f>
        <v/>
      </c>
      <c r="J28" s="35">
        <f>IF(G28&gt;0,H28/G28,0)</f>
        <v/>
      </c>
      <c r="K28" s="36" t="inlineStr"/>
    </row>
    <row r="29">
      <c r="A29" s="3" t="inlineStr"/>
    </row>
    <row r="30" ht="20" customHeight="1">
      <c r="A30" s="6" t="inlineStr">
        <is>
          <t>4. שלד ובטון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12" t="inlineStr">
        <is>
          <t>יסודות ורפסודת בטון</t>
        </is>
      </c>
      <c r="B31" s="26" t="inlineStr">
        <is>
          <t>מ"ר</t>
        </is>
      </c>
      <c r="C31" s="26">
        <f>'סיכום'!$B$4</f>
        <v/>
      </c>
      <c r="D31" s="28" t="n">
        <v>480</v>
      </c>
      <c r="E31" s="29">
        <f>C31*D31</f>
        <v/>
      </c>
      <c r="F31" s="29">
        <f>E31*'סיכום'!$B$5</f>
        <v/>
      </c>
      <c r="G31" s="30">
        <f>E31+F31</f>
        <v/>
      </c>
      <c r="H31" s="28" t="n">
        <v>0</v>
      </c>
      <c r="I31" s="13">
        <f>G31-H31</f>
        <v/>
      </c>
      <c r="J31" s="14">
        <f>IF(G31&gt;0,H31/G31,0)</f>
        <v/>
      </c>
      <c r="K31" s="31" t="inlineStr"/>
    </row>
    <row r="32">
      <c r="A32" s="12" t="inlineStr">
        <is>
          <t>שלד בטון - עמודים, קורות ותקרות</t>
        </is>
      </c>
      <c r="B32" s="26" t="inlineStr">
        <is>
          <t>מ"ר</t>
        </is>
      </c>
      <c r="C32" s="26">
        <f>'סיכום'!$B$4</f>
        <v/>
      </c>
      <c r="D32" s="28" t="n">
        <v>1150</v>
      </c>
      <c r="E32" s="29">
        <f>C32*D32</f>
        <v/>
      </c>
      <c r="F32" s="29">
        <f>E32*'סיכום'!$B$5</f>
        <v/>
      </c>
      <c r="G32" s="30">
        <f>E32+F32</f>
        <v/>
      </c>
      <c r="H32" s="28" t="n">
        <v>0</v>
      </c>
      <c r="I32" s="13">
        <f>G32-H32</f>
        <v/>
      </c>
      <c r="J32" s="14">
        <f>IF(G32&gt;0,H32/G32,0)</f>
        <v/>
      </c>
      <c r="K32" s="31" t="inlineStr"/>
    </row>
    <row r="33">
      <c r="A33" s="12" t="inlineStr">
        <is>
          <t>ממ"ד (מרחב מוגן)</t>
        </is>
      </c>
      <c r="B33" s="26" t="inlineStr">
        <is>
          <t>קומפלט</t>
        </is>
      </c>
      <c r="C33" s="27" t="n">
        <v>1</v>
      </c>
      <c r="D33" s="28" t="n">
        <v>38000</v>
      </c>
      <c r="E33" s="29">
        <f>C33*D33</f>
        <v/>
      </c>
      <c r="F33" s="29">
        <f>E33*'סיכום'!$B$5</f>
        <v/>
      </c>
      <c r="G33" s="30">
        <f>E33+F33</f>
        <v/>
      </c>
      <c r="H33" s="28" t="n">
        <v>0</v>
      </c>
      <c r="I33" s="13">
        <f>G33-H33</f>
        <v/>
      </c>
      <c r="J33" s="14">
        <f>IF(G33&gt;0,H33/G33,0)</f>
        <v/>
      </c>
      <c r="K33" s="31" t="inlineStr"/>
    </row>
    <row r="34">
      <c r="A34" s="12" t="inlineStr">
        <is>
          <t>מדרגות בטון פנים</t>
        </is>
      </c>
      <c r="B34" s="26" t="inlineStr">
        <is>
          <t>קומפלט</t>
        </is>
      </c>
      <c r="C34" s="27" t="n">
        <v>1</v>
      </c>
      <c r="D34" s="28" t="n">
        <v>14000</v>
      </c>
      <c r="E34" s="29">
        <f>C34*D34</f>
        <v/>
      </c>
      <c r="F34" s="29">
        <f>E34*'סיכום'!$B$5</f>
        <v/>
      </c>
      <c r="G34" s="30">
        <f>E34+F34</f>
        <v/>
      </c>
      <c r="H34" s="28" t="n">
        <v>0</v>
      </c>
      <c r="I34" s="13">
        <f>G34-H34</f>
        <v/>
      </c>
      <c r="J34" s="14">
        <f>IF(G34&gt;0,H34/G34,0)</f>
        <v/>
      </c>
      <c r="K34" s="31" t="inlineStr"/>
    </row>
    <row r="35">
      <c r="A35" s="12" t="inlineStr">
        <is>
          <t>משאבת בטון ואביזרים</t>
        </is>
      </c>
      <c r="B35" s="26" t="inlineStr">
        <is>
          <t>קומפלט</t>
        </is>
      </c>
      <c r="C35" s="27" t="n">
        <v>1</v>
      </c>
      <c r="D35" s="28" t="n">
        <v>9000</v>
      </c>
      <c r="E35" s="29">
        <f>C35*D35</f>
        <v/>
      </c>
      <c r="F35" s="29">
        <f>E35*'סיכום'!$B$5</f>
        <v/>
      </c>
      <c r="G35" s="30">
        <f>E35+F35</f>
        <v/>
      </c>
      <c r="H35" s="28" t="n">
        <v>0</v>
      </c>
      <c r="I35" s="13">
        <f>G35-H35</f>
        <v/>
      </c>
      <c r="J35" s="14">
        <f>IF(G35&gt;0,H35/G35,0)</f>
        <v/>
      </c>
      <c r="K35" s="31" t="inlineStr"/>
    </row>
    <row r="36">
      <c r="A36" s="32" t="inlineStr">
        <is>
          <t>סה"כ 4. שלד ובטון</t>
        </is>
      </c>
      <c r="B36" s="33" t="n"/>
      <c r="C36" s="33" t="n"/>
      <c r="D36" s="33" t="n"/>
      <c r="E36" s="34">
        <f>SUM(E31:E35)</f>
        <v/>
      </c>
      <c r="F36" s="34">
        <f>SUM(F31:F35)</f>
        <v/>
      </c>
      <c r="G36" s="34">
        <f>SUM(G31:G35)</f>
        <v/>
      </c>
      <c r="H36" s="34">
        <f>SUM(H31:H35)</f>
        <v/>
      </c>
      <c r="I36" s="34">
        <f>SUM(I31:I35)</f>
        <v/>
      </c>
      <c r="J36" s="35">
        <f>IF(G36&gt;0,H36/G36,0)</f>
        <v/>
      </c>
      <c r="K36" s="36" t="inlineStr"/>
    </row>
    <row r="37">
      <c r="A37" s="3" t="inlineStr"/>
    </row>
    <row r="38" ht="20" customHeight="1">
      <c r="A38" s="6" t="inlineStr">
        <is>
          <t>5. בנייה, מעטפת ואיטום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12" t="inlineStr">
        <is>
          <t>בנייה - בלוקים וקירות</t>
        </is>
      </c>
      <c r="B39" s="26" t="inlineStr">
        <is>
          <t>מ"ר</t>
        </is>
      </c>
      <c r="C39" s="26">
        <f>'סיכום'!$B$4</f>
        <v/>
      </c>
      <c r="D39" s="28" t="n">
        <v>380</v>
      </c>
      <c r="E39" s="29">
        <f>C39*D39</f>
        <v/>
      </c>
      <c r="F39" s="29">
        <f>E39*'סיכום'!$B$5</f>
        <v/>
      </c>
      <c r="G39" s="30">
        <f>E39+F39</f>
        <v/>
      </c>
      <c r="H39" s="28" t="n">
        <v>0</v>
      </c>
      <c r="I39" s="13">
        <f>G39-H39</f>
        <v/>
      </c>
      <c r="J39" s="14">
        <f>IF(G39&gt;0,H39/G39,0)</f>
        <v/>
      </c>
      <c r="K39" s="31" t="inlineStr"/>
    </row>
    <row r="40">
      <c r="A40" s="12" t="inlineStr">
        <is>
          <t>איטום (גג, יסודות, חדרים רטובים)</t>
        </is>
      </c>
      <c r="B40" s="26" t="inlineStr">
        <is>
          <t>מ"ר</t>
        </is>
      </c>
      <c r="C40" s="26">
        <f>'סיכום'!$B$4</f>
        <v/>
      </c>
      <c r="D40" s="28" t="n">
        <v>130</v>
      </c>
      <c r="E40" s="29">
        <f>C40*D40</f>
        <v/>
      </c>
      <c r="F40" s="29">
        <f>E40*'סיכום'!$B$5</f>
        <v/>
      </c>
      <c r="G40" s="30">
        <f>E40+F40</f>
        <v/>
      </c>
      <c r="H40" s="28" t="n">
        <v>0</v>
      </c>
      <c r="I40" s="13">
        <f>G40-H40</f>
        <v/>
      </c>
      <c r="J40" s="14">
        <f>IF(G40&gt;0,H40/G40,0)</f>
        <v/>
      </c>
      <c r="K40" s="31" t="inlineStr"/>
    </row>
    <row r="41">
      <c r="A41" s="12" t="inlineStr">
        <is>
          <t>בידוד תרמי ואקוסטי</t>
        </is>
      </c>
      <c r="B41" s="26" t="inlineStr">
        <is>
          <t>מ"ר</t>
        </is>
      </c>
      <c r="C41" s="26">
        <f>'סיכום'!$B$4</f>
        <v/>
      </c>
      <c r="D41" s="28" t="n">
        <v>95</v>
      </c>
      <c r="E41" s="29">
        <f>C41*D41</f>
        <v/>
      </c>
      <c r="F41" s="29">
        <f>E41*'סיכום'!$B$5</f>
        <v/>
      </c>
      <c r="G41" s="30">
        <f>E41+F41</f>
        <v/>
      </c>
      <c r="H41" s="28" t="n">
        <v>0</v>
      </c>
      <c r="I41" s="13">
        <f>G41-H41</f>
        <v/>
      </c>
      <c r="J41" s="14">
        <f>IF(G41&gt;0,H41/G41,0)</f>
        <v/>
      </c>
      <c r="K41" s="31" t="inlineStr"/>
    </row>
    <row r="42">
      <c r="A42" s="12" t="inlineStr">
        <is>
          <t>גג רעפים / גג שטוח</t>
        </is>
      </c>
      <c r="B42" s="26" t="inlineStr">
        <is>
          <t>מ"ר</t>
        </is>
      </c>
      <c r="C42" s="27" t="n">
        <v>110</v>
      </c>
      <c r="D42" s="28" t="n">
        <v>320</v>
      </c>
      <c r="E42" s="29">
        <f>C42*D42</f>
        <v/>
      </c>
      <c r="F42" s="29">
        <f>E42*'סיכום'!$B$5</f>
        <v/>
      </c>
      <c r="G42" s="30">
        <f>E42+F42</f>
        <v/>
      </c>
      <c r="H42" s="28" t="n">
        <v>0</v>
      </c>
      <c r="I42" s="13">
        <f>G42-H42</f>
        <v/>
      </c>
      <c r="J42" s="14">
        <f>IF(G42&gt;0,H42/G42,0)</f>
        <v/>
      </c>
      <c r="K42" s="31" t="inlineStr"/>
    </row>
    <row r="43">
      <c r="A43" s="32" t="inlineStr">
        <is>
          <t>סה"כ 5. בנייה, מעטפת ואיטום</t>
        </is>
      </c>
      <c r="B43" s="33" t="n"/>
      <c r="C43" s="33" t="n"/>
      <c r="D43" s="33" t="n"/>
      <c r="E43" s="34">
        <f>SUM(E39:E42)</f>
        <v/>
      </c>
      <c r="F43" s="34">
        <f>SUM(F39:F42)</f>
        <v/>
      </c>
      <c r="G43" s="34">
        <f>SUM(G39:G42)</f>
        <v/>
      </c>
      <c r="H43" s="34">
        <f>SUM(H39:H42)</f>
        <v/>
      </c>
      <c r="I43" s="34">
        <f>SUM(I39:I42)</f>
        <v/>
      </c>
      <c r="J43" s="35">
        <f>IF(G43&gt;0,H43/G43,0)</f>
        <v/>
      </c>
      <c r="K43" s="36" t="inlineStr"/>
    </row>
    <row r="44">
      <c r="A44" s="3" t="inlineStr"/>
    </row>
    <row r="45" ht="20" customHeight="1">
      <c r="A45" s="6" t="inlineStr">
        <is>
          <t>6. אלומיניום ונגרות חוץ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12" t="inlineStr">
        <is>
          <t>חלונות, ויטרינות ותריסים</t>
        </is>
      </c>
      <c r="B46" s="26" t="inlineStr">
        <is>
          <t>מ"ר</t>
        </is>
      </c>
      <c r="C46" s="27" t="n">
        <v>38</v>
      </c>
      <c r="D46" s="28" t="n">
        <v>2300</v>
      </c>
      <c r="E46" s="29">
        <f>C46*D46</f>
        <v/>
      </c>
      <c r="F46" s="29">
        <f>E46*'סיכום'!$B$5</f>
        <v/>
      </c>
      <c r="G46" s="30">
        <f>E46+F46</f>
        <v/>
      </c>
      <c r="H46" s="28" t="n">
        <v>0</v>
      </c>
      <c r="I46" s="13">
        <f>G46-H46</f>
        <v/>
      </c>
      <c r="J46" s="14">
        <f>IF(G46&gt;0,H46/G46,0)</f>
        <v/>
      </c>
      <c r="K46" s="31" t="inlineStr"/>
    </row>
    <row r="47">
      <c r="A47" s="12" t="inlineStr">
        <is>
          <t>דלת כניסה</t>
        </is>
      </c>
      <c r="B47" s="26" t="inlineStr">
        <is>
          <t>קומפלט</t>
        </is>
      </c>
      <c r="C47" s="27" t="n">
        <v>1</v>
      </c>
      <c r="D47" s="28" t="n">
        <v>13000</v>
      </c>
      <c r="E47" s="29">
        <f>C47*D47</f>
        <v/>
      </c>
      <c r="F47" s="29">
        <f>E47*'סיכום'!$B$5</f>
        <v/>
      </c>
      <c r="G47" s="30">
        <f>E47+F47</f>
        <v/>
      </c>
      <c r="H47" s="28" t="n">
        <v>0</v>
      </c>
      <c r="I47" s="13">
        <f>G47-H47</f>
        <v/>
      </c>
      <c r="J47" s="14">
        <f>IF(G47&gt;0,H47/G47,0)</f>
        <v/>
      </c>
      <c r="K47" s="31" t="inlineStr"/>
    </row>
    <row r="48">
      <c r="A48" s="12" t="inlineStr">
        <is>
          <t>פרגולה / סוכך / מעקות חוץ</t>
        </is>
      </c>
      <c r="B48" s="26" t="inlineStr">
        <is>
          <t>קומפלט</t>
        </is>
      </c>
      <c r="C48" s="27" t="n">
        <v>1</v>
      </c>
      <c r="D48" s="28" t="n">
        <v>18000</v>
      </c>
      <c r="E48" s="29">
        <f>C48*D48</f>
        <v/>
      </c>
      <c r="F48" s="29">
        <f>E48*'סיכום'!$B$5</f>
        <v/>
      </c>
      <c r="G48" s="30">
        <f>E48+F48</f>
        <v/>
      </c>
      <c r="H48" s="28" t="n">
        <v>0</v>
      </c>
      <c r="I48" s="13">
        <f>G48-H48</f>
        <v/>
      </c>
      <c r="J48" s="14">
        <f>IF(G48&gt;0,H48/G48,0)</f>
        <v/>
      </c>
      <c r="K48" s="31" t="inlineStr"/>
    </row>
    <row r="49">
      <c r="A49" s="32" t="inlineStr">
        <is>
          <t>סה"כ 6. אלומיניום ונגרות חוץ</t>
        </is>
      </c>
      <c r="B49" s="33" t="n"/>
      <c r="C49" s="33" t="n"/>
      <c r="D49" s="33" t="n"/>
      <c r="E49" s="34">
        <f>SUM(E46:E48)</f>
        <v/>
      </c>
      <c r="F49" s="34">
        <f>SUM(F46:F48)</f>
        <v/>
      </c>
      <c r="G49" s="34">
        <f>SUM(G46:G48)</f>
        <v/>
      </c>
      <c r="H49" s="34">
        <f>SUM(H46:H48)</f>
        <v/>
      </c>
      <c r="I49" s="34">
        <f>SUM(I46:I48)</f>
        <v/>
      </c>
      <c r="J49" s="35">
        <f>IF(G49&gt;0,H49/G49,0)</f>
        <v/>
      </c>
      <c r="K49" s="36" t="inlineStr"/>
    </row>
    <row r="50">
      <c r="A50" s="3" t="inlineStr"/>
    </row>
    <row r="51" ht="20" customHeight="1">
      <c r="A51" s="6" t="inlineStr">
        <is>
          <t>7. אינסטלציה ומערכות מים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12" t="inlineStr">
        <is>
          <t>צנרת מים, ביוב ונקזים</t>
        </is>
      </c>
      <c r="B52" s="26" t="inlineStr">
        <is>
          <t>נק'</t>
        </is>
      </c>
      <c r="C52" s="27" t="n">
        <v>42</v>
      </c>
      <c r="D52" s="28" t="n">
        <v>480</v>
      </c>
      <c r="E52" s="29">
        <f>C52*D52</f>
        <v/>
      </c>
      <c r="F52" s="29">
        <f>E52*'סיכום'!$B$5</f>
        <v/>
      </c>
      <c r="G52" s="30">
        <f>E52+F52</f>
        <v/>
      </c>
      <c r="H52" s="28" t="n">
        <v>0</v>
      </c>
      <c r="I52" s="13">
        <f>G52-H52</f>
        <v/>
      </c>
      <c r="J52" s="14">
        <f>IF(G52&gt;0,H52/G52,0)</f>
        <v/>
      </c>
      <c r="K52" s="31" t="inlineStr"/>
    </row>
    <row r="53">
      <c r="A53" s="12" t="inlineStr">
        <is>
          <t>דוד שמש ומערכת חימום מים</t>
        </is>
      </c>
      <c r="B53" s="26" t="inlineStr">
        <is>
          <t>קומפלט</t>
        </is>
      </c>
      <c r="C53" s="27" t="n">
        <v>1</v>
      </c>
      <c r="D53" s="28" t="n">
        <v>7000</v>
      </c>
      <c r="E53" s="29">
        <f>C53*D53</f>
        <v/>
      </c>
      <c r="F53" s="29">
        <f>E53*'סיכום'!$B$5</f>
        <v/>
      </c>
      <c r="G53" s="30">
        <f>E53+F53</f>
        <v/>
      </c>
      <c r="H53" s="28" t="n">
        <v>0</v>
      </c>
      <c r="I53" s="13">
        <f>G53-H53</f>
        <v/>
      </c>
      <c r="J53" s="14">
        <f>IF(G53&gt;0,H53/G53,0)</f>
        <v/>
      </c>
      <c r="K53" s="31" t="inlineStr"/>
    </row>
    <row r="54">
      <c r="A54" s="12" t="inlineStr">
        <is>
          <t>כלים סניטריים, ברזים ואביזרים</t>
        </is>
      </c>
      <c r="B54" s="26" t="inlineStr">
        <is>
          <t>קומפלט</t>
        </is>
      </c>
      <c r="C54" s="27" t="n">
        <v>1</v>
      </c>
      <c r="D54" s="28" t="n">
        <v>32000</v>
      </c>
      <c r="E54" s="29">
        <f>C54*D54</f>
        <v/>
      </c>
      <c r="F54" s="29">
        <f>E54*'סיכום'!$B$5</f>
        <v/>
      </c>
      <c r="G54" s="30">
        <f>E54+F54</f>
        <v/>
      </c>
      <c r="H54" s="28" t="n">
        <v>0</v>
      </c>
      <c r="I54" s="13">
        <f>G54-H54</f>
        <v/>
      </c>
      <c r="J54" s="14">
        <f>IF(G54&gt;0,H54/G54,0)</f>
        <v/>
      </c>
      <c r="K54" s="31" t="inlineStr"/>
    </row>
    <row r="55">
      <c r="A55" s="12" t="inlineStr">
        <is>
          <t>חימום תת-רצפתי</t>
        </is>
      </c>
      <c r="B55" s="26" t="inlineStr">
        <is>
          <t>מ"ר</t>
        </is>
      </c>
      <c r="C55" s="27" t="n">
        <v>0</v>
      </c>
      <c r="D55" s="28" t="n">
        <v>220</v>
      </c>
      <c r="E55" s="29">
        <f>C55*D55</f>
        <v/>
      </c>
      <c r="F55" s="29">
        <f>E55*'סיכום'!$B$5</f>
        <v/>
      </c>
      <c r="G55" s="30">
        <f>E55+F55</f>
        <v/>
      </c>
      <c r="H55" s="28" t="n">
        <v>0</v>
      </c>
      <c r="I55" s="13">
        <f>G55-H55</f>
        <v/>
      </c>
      <c r="J55" s="14">
        <f>IF(G55&gt;0,H55/G55,0)</f>
        <v/>
      </c>
      <c r="K55" s="31" t="inlineStr">
        <is>
          <t>אופציונלי</t>
        </is>
      </c>
    </row>
    <row r="56">
      <c r="A56" s="32" t="inlineStr">
        <is>
          <t>סה"כ 7. אינסטלציה ומערכות מים</t>
        </is>
      </c>
      <c r="B56" s="33" t="n"/>
      <c r="C56" s="33" t="n"/>
      <c r="D56" s="33" t="n"/>
      <c r="E56" s="34">
        <f>SUM(E52:E55)</f>
        <v/>
      </c>
      <c r="F56" s="34">
        <f>SUM(F52:F55)</f>
        <v/>
      </c>
      <c r="G56" s="34">
        <f>SUM(G52:G55)</f>
        <v/>
      </c>
      <c r="H56" s="34">
        <f>SUM(H52:H55)</f>
        <v/>
      </c>
      <c r="I56" s="34">
        <f>SUM(I52:I55)</f>
        <v/>
      </c>
      <c r="J56" s="35">
        <f>IF(G56&gt;0,H56/G56,0)</f>
        <v/>
      </c>
      <c r="K56" s="36" t="inlineStr"/>
    </row>
    <row r="57">
      <c r="A57" s="3" t="inlineStr"/>
    </row>
    <row r="58" ht="20" customHeight="1">
      <c r="A58" s="6" t="inlineStr">
        <is>
          <t>8. חשמל, תקשורת ובית חכם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12" t="inlineStr">
        <is>
          <t>נקודות חשמל, מאור וכוח</t>
        </is>
      </c>
      <c r="B59" s="26" t="inlineStr">
        <is>
          <t>נק'</t>
        </is>
      </c>
      <c r="C59" s="27" t="n">
        <v>180</v>
      </c>
      <c r="D59" s="28" t="n">
        <v>190</v>
      </c>
      <c r="E59" s="29">
        <f>C59*D59</f>
        <v/>
      </c>
      <c r="F59" s="29">
        <f>E59*'סיכום'!$B$5</f>
        <v/>
      </c>
      <c r="G59" s="30">
        <f>E59+F59</f>
        <v/>
      </c>
      <c r="H59" s="28" t="n">
        <v>0</v>
      </c>
      <c r="I59" s="13">
        <f>G59-H59</f>
        <v/>
      </c>
      <c r="J59" s="14">
        <f>IF(G59&gt;0,H59/G59,0)</f>
        <v/>
      </c>
      <c r="K59" s="31" t="inlineStr"/>
    </row>
    <row r="60">
      <c r="A60" s="12" t="inlineStr">
        <is>
          <t>לוח חשמל ראשי ומשני</t>
        </is>
      </c>
      <c r="B60" s="26" t="inlineStr">
        <is>
          <t>קומפלט</t>
        </is>
      </c>
      <c r="C60" s="27" t="n">
        <v>1</v>
      </c>
      <c r="D60" s="28" t="n">
        <v>9000</v>
      </c>
      <c r="E60" s="29">
        <f>C60*D60</f>
        <v/>
      </c>
      <c r="F60" s="29">
        <f>E60*'סיכום'!$B$5</f>
        <v/>
      </c>
      <c r="G60" s="30">
        <f>E60+F60</f>
        <v/>
      </c>
      <c r="H60" s="28" t="n">
        <v>0</v>
      </c>
      <c r="I60" s="13">
        <f>G60-H60</f>
        <v/>
      </c>
      <c r="J60" s="14">
        <f>IF(G60&gt;0,H60/G60,0)</f>
        <v/>
      </c>
      <c r="K60" s="31" t="inlineStr"/>
    </row>
    <row r="61">
      <c r="A61" s="12" t="inlineStr">
        <is>
          <t>תקשורת, רשת ומולטימדיה</t>
        </is>
      </c>
      <c r="B61" s="26" t="inlineStr">
        <is>
          <t>נק'</t>
        </is>
      </c>
      <c r="C61" s="27" t="n">
        <v>30</v>
      </c>
      <c r="D61" s="28" t="n">
        <v>260</v>
      </c>
      <c r="E61" s="29">
        <f>C61*D61</f>
        <v/>
      </c>
      <c r="F61" s="29">
        <f>E61*'סיכום'!$B$5</f>
        <v/>
      </c>
      <c r="G61" s="30">
        <f>E61+F61</f>
        <v/>
      </c>
      <c r="H61" s="28" t="n">
        <v>0</v>
      </c>
      <c r="I61" s="13">
        <f>G61-H61</f>
        <v/>
      </c>
      <c r="J61" s="14">
        <f>IF(G61&gt;0,H61/G61,0)</f>
        <v/>
      </c>
      <c r="K61" s="31" t="inlineStr"/>
    </row>
    <row r="62">
      <c r="A62" s="12" t="inlineStr">
        <is>
          <t>מערכת בית חכם / אזעקה / מצלמות</t>
        </is>
      </c>
      <c r="B62" s="26" t="inlineStr">
        <is>
          <t>קומפלט</t>
        </is>
      </c>
      <c r="C62" s="27" t="n">
        <v>1</v>
      </c>
      <c r="D62" s="28" t="n">
        <v>28000</v>
      </c>
      <c r="E62" s="29">
        <f>C62*D62</f>
        <v/>
      </c>
      <c r="F62" s="29">
        <f>E62*'סיכום'!$B$5</f>
        <v/>
      </c>
      <c r="G62" s="30">
        <f>E62+F62</f>
        <v/>
      </c>
      <c r="H62" s="28" t="n">
        <v>0</v>
      </c>
      <c r="I62" s="13">
        <f>G62-H62</f>
        <v/>
      </c>
      <c r="J62" s="14">
        <f>IF(G62&gt;0,H62/G62,0)</f>
        <v/>
      </c>
      <c r="K62" s="31" t="inlineStr">
        <is>
          <t>אופציונלי</t>
        </is>
      </c>
    </row>
    <row r="63">
      <c r="A63" s="32" t="inlineStr">
        <is>
          <t>סה"כ 8. חשמל, תקשורת ובית חכם</t>
        </is>
      </c>
      <c r="B63" s="33" t="n"/>
      <c r="C63" s="33" t="n"/>
      <c r="D63" s="33" t="n"/>
      <c r="E63" s="34">
        <f>SUM(E59:E62)</f>
        <v/>
      </c>
      <c r="F63" s="34">
        <f>SUM(F59:F62)</f>
        <v/>
      </c>
      <c r="G63" s="34">
        <f>SUM(G59:G62)</f>
        <v/>
      </c>
      <c r="H63" s="34">
        <f>SUM(H59:H62)</f>
        <v/>
      </c>
      <c r="I63" s="34">
        <f>SUM(I59:I62)</f>
        <v/>
      </c>
      <c r="J63" s="35">
        <f>IF(G63&gt;0,H63/G63,0)</f>
        <v/>
      </c>
      <c r="K63" s="36" t="inlineStr"/>
    </row>
    <row r="64">
      <c r="A64" s="3" t="inlineStr"/>
    </row>
    <row r="65" ht="20" customHeight="1">
      <c r="A65" s="6" t="inlineStr">
        <is>
          <t>9. מיזוג אוויר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12" t="inlineStr">
        <is>
          <t>מערכת מיזוג מרכזי / מיני-מרכזי</t>
        </is>
      </c>
      <c r="B66" s="26" t="inlineStr">
        <is>
          <t>קומפלט</t>
        </is>
      </c>
      <c r="C66" s="27" t="n">
        <v>1</v>
      </c>
      <c r="D66" s="28" t="n">
        <v>58000</v>
      </c>
      <c r="E66" s="29">
        <f>C66*D66</f>
        <v/>
      </c>
      <c r="F66" s="29">
        <f>E66*'סיכום'!$B$5</f>
        <v/>
      </c>
      <c r="G66" s="30">
        <f>E66+F66</f>
        <v/>
      </c>
      <c r="H66" s="28" t="n">
        <v>0</v>
      </c>
      <c r="I66" s="13">
        <f>G66-H66</f>
        <v/>
      </c>
      <c r="J66" s="14">
        <f>IF(G66&gt;0,H66/G66,0)</f>
        <v/>
      </c>
      <c r="K66" s="31" t="inlineStr"/>
    </row>
    <row r="67">
      <c r="A67" s="12" t="inlineStr">
        <is>
          <t>תעלות, מפזרים ותרמוסטטים</t>
        </is>
      </c>
      <c r="B67" s="26" t="inlineStr">
        <is>
          <t>קומפלט</t>
        </is>
      </c>
      <c r="C67" s="27" t="n">
        <v>1</v>
      </c>
      <c r="D67" s="28" t="n">
        <v>12000</v>
      </c>
      <c r="E67" s="29">
        <f>C67*D67</f>
        <v/>
      </c>
      <c r="F67" s="29">
        <f>E67*'סיכום'!$B$5</f>
        <v/>
      </c>
      <c r="G67" s="30">
        <f>E67+F67</f>
        <v/>
      </c>
      <c r="H67" s="28" t="n">
        <v>0</v>
      </c>
      <c r="I67" s="13">
        <f>G67-H67</f>
        <v/>
      </c>
      <c r="J67" s="14">
        <f>IF(G67&gt;0,H67/G67,0)</f>
        <v/>
      </c>
      <c r="K67" s="31" t="inlineStr"/>
    </row>
    <row r="68">
      <c r="A68" s="32" t="inlineStr">
        <is>
          <t>סה"כ 9. מיזוג אוויר</t>
        </is>
      </c>
      <c r="B68" s="33" t="n"/>
      <c r="C68" s="33" t="n"/>
      <c r="D68" s="33" t="n"/>
      <c r="E68" s="34">
        <f>SUM(E66:E67)</f>
        <v/>
      </c>
      <c r="F68" s="34">
        <f>SUM(F66:F67)</f>
        <v/>
      </c>
      <c r="G68" s="34">
        <f>SUM(G66:G67)</f>
        <v/>
      </c>
      <c r="H68" s="34">
        <f>SUM(H66:H67)</f>
        <v/>
      </c>
      <c r="I68" s="34">
        <f>SUM(I66:I67)</f>
        <v/>
      </c>
      <c r="J68" s="35">
        <f>IF(G68&gt;0,H68/G68,0)</f>
        <v/>
      </c>
      <c r="K68" s="36" t="inlineStr"/>
    </row>
    <row r="69">
      <c r="A69" s="3" t="inlineStr"/>
    </row>
    <row r="70" ht="20" customHeight="1">
      <c r="A70" s="6" t="inlineStr">
        <is>
          <t>10. טיח, צבע, ריצוף וחיפוי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12" t="inlineStr">
        <is>
          <t>טיח פנים וחוץ</t>
        </is>
      </c>
      <c r="B71" s="26" t="inlineStr">
        <is>
          <t>מ"ר</t>
        </is>
      </c>
      <c r="C71" s="27" t="n">
        <v>720</v>
      </c>
      <c r="D71" s="28" t="n">
        <v>78</v>
      </c>
      <c r="E71" s="29">
        <f>C71*D71</f>
        <v/>
      </c>
      <c r="F71" s="29">
        <f>E71*'סיכום'!$B$5</f>
        <v/>
      </c>
      <c r="G71" s="30">
        <f>E71+F71</f>
        <v/>
      </c>
      <c r="H71" s="28" t="n">
        <v>0</v>
      </c>
      <c r="I71" s="13">
        <f>G71-H71</f>
        <v/>
      </c>
      <c r="J71" s="14">
        <f>IF(G71&gt;0,H71/G71,0)</f>
        <v/>
      </c>
      <c r="K71" s="31" t="inlineStr"/>
    </row>
    <row r="72">
      <c r="A72" s="12" t="inlineStr">
        <is>
          <t>צבע ושפכטל</t>
        </is>
      </c>
      <c r="B72" s="26" t="inlineStr">
        <is>
          <t>מ"ר</t>
        </is>
      </c>
      <c r="C72" s="27" t="n">
        <v>720</v>
      </c>
      <c r="D72" s="28" t="n">
        <v>38</v>
      </c>
      <c r="E72" s="29">
        <f>C72*D72</f>
        <v/>
      </c>
      <c r="F72" s="29">
        <f>E72*'סיכום'!$B$5</f>
        <v/>
      </c>
      <c r="G72" s="30">
        <f>E72+F72</f>
        <v/>
      </c>
      <c r="H72" s="28" t="n">
        <v>0</v>
      </c>
      <c r="I72" s="13">
        <f>G72-H72</f>
        <v/>
      </c>
      <c r="J72" s="14">
        <f>IF(G72&gt;0,H72/G72,0)</f>
        <v/>
      </c>
      <c r="K72" s="31" t="inlineStr"/>
    </row>
    <row r="73">
      <c r="A73" s="12" t="inlineStr">
        <is>
          <t>ריצוף פנים וחיפוי קירות</t>
        </is>
      </c>
      <c r="B73" s="26" t="inlineStr">
        <is>
          <t>מ"ר</t>
        </is>
      </c>
      <c r="C73" s="27" t="n">
        <v>200</v>
      </c>
      <c r="D73" s="28" t="n">
        <v>290</v>
      </c>
      <c r="E73" s="29">
        <f>C73*D73</f>
        <v/>
      </c>
      <c r="F73" s="29">
        <f>E73*'סיכום'!$B$5</f>
        <v/>
      </c>
      <c r="G73" s="30">
        <f>E73+F73</f>
        <v/>
      </c>
      <c r="H73" s="28" t="n">
        <v>0</v>
      </c>
      <c r="I73" s="13">
        <f>G73-H73</f>
        <v/>
      </c>
      <c r="J73" s="14">
        <f>IF(G73&gt;0,H73/G73,0)</f>
        <v/>
      </c>
      <c r="K73" s="31" t="inlineStr"/>
    </row>
    <row r="74">
      <c r="A74" s="12" t="inlineStr">
        <is>
          <t>חיפוי חוץ (אבן / טיח אקרילי)</t>
        </is>
      </c>
      <c r="B74" s="26" t="inlineStr">
        <is>
          <t>מ"ר</t>
        </is>
      </c>
      <c r="C74" s="27" t="n">
        <v>200</v>
      </c>
      <c r="D74" s="28" t="n">
        <v>260</v>
      </c>
      <c r="E74" s="29">
        <f>C74*D74</f>
        <v/>
      </c>
      <c r="F74" s="29">
        <f>E74*'סיכום'!$B$5</f>
        <v/>
      </c>
      <c r="G74" s="30">
        <f>E74+F74</f>
        <v/>
      </c>
      <c r="H74" s="28" t="n">
        <v>0</v>
      </c>
      <c r="I74" s="13">
        <f>G74-H74</f>
        <v/>
      </c>
      <c r="J74" s="14">
        <f>IF(G74&gt;0,H74/G74,0)</f>
        <v/>
      </c>
      <c r="K74" s="31" t="inlineStr"/>
    </row>
    <row r="75">
      <c r="A75" s="12" t="inlineStr">
        <is>
          <t>אבני שפה, סיפים ופנלים</t>
        </is>
      </c>
      <c r="B75" s="26" t="inlineStr">
        <is>
          <t>קומפלט</t>
        </is>
      </c>
      <c r="C75" s="27" t="n">
        <v>1</v>
      </c>
      <c r="D75" s="28" t="n">
        <v>9000</v>
      </c>
      <c r="E75" s="29">
        <f>C75*D75</f>
        <v/>
      </c>
      <c r="F75" s="29">
        <f>E75*'סיכום'!$B$5</f>
        <v/>
      </c>
      <c r="G75" s="30">
        <f>E75+F75</f>
        <v/>
      </c>
      <c r="H75" s="28" t="n">
        <v>0</v>
      </c>
      <c r="I75" s="13">
        <f>G75-H75</f>
        <v/>
      </c>
      <c r="J75" s="14">
        <f>IF(G75&gt;0,H75/G75,0)</f>
        <v/>
      </c>
      <c r="K75" s="31" t="inlineStr"/>
    </row>
    <row r="76">
      <c r="A76" s="32" t="inlineStr">
        <is>
          <t>סה"כ 10. טיח, צבע, ריצוף וחיפוי</t>
        </is>
      </c>
      <c r="B76" s="33" t="n"/>
      <c r="C76" s="33" t="n"/>
      <c r="D76" s="33" t="n"/>
      <c r="E76" s="34">
        <f>SUM(E71:E75)</f>
        <v/>
      </c>
      <c r="F76" s="34">
        <f>SUM(F71:F75)</f>
        <v/>
      </c>
      <c r="G76" s="34">
        <f>SUM(G71:G75)</f>
        <v/>
      </c>
      <c r="H76" s="34">
        <f>SUM(H71:H75)</f>
        <v/>
      </c>
      <c r="I76" s="34">
        <f>SUM(I71:I75)</f>
        <v/>
      </c>
      <c r="J76" s="35">
        <f>IF(G76&gt;0,H76/G76,0)</f>
        <v/>
      </c>
      <c r="K76" s="36" t="inlineStr"/>
    </row>
    <row r="77">
      <c r="A77" s="3" t="inlineStr"/>
    </row>
    <row r="78" ht="20" customHeight="1">
      <c r="A78" s="6" t="inlineStr">
        <is>
          <t>11. גמרים פנימיים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12" t="inlineStr">
        <is>
          <t>מטבח - ארונות, משטח ואי</t>
        </is>
      </c>
      <c r="B79" s="26" t="inlineStr">
        <is>
          <t>קומפלט</t>
        </is>
      </c>
      <c r="C79" s="27" t="n">
        <v>1</v>
      </c>
      <c r="D79" s="28" t="n">
        <v>85000</v>
      </c>
      <c r="E79" s="29">
        <f>C79*D79</f>
        <v/>
      </c>
      <c r="F79" s="29">
        <f>E79*'סיכום'!$B$5</f>
        <v/>
      </c>
      <c r="G79" s="30">
        <f>E79+F79</f>
        <v/>
      </c>
      <c r="H79" s="28" t="n">
        <v>0</v>
      </c>
      <c r="I79" s="13">
        <f>G79-H79</f>
        <v/>
      </c>
      <c r="J79" s="14">
        <f>IF(G79&gt;0,H79/G79,0)</f>
        <v/>
      </c>
      <c r="K79" s="31" t="inlineStr"/>
    </row>
    <row r="80">
      <c r="A80" s="12" t="inlineStr">
        <is>
          <t>חדרי רחצה - ארונות, מקלחונים ואביזרים</t>
        </is>
      </c>
      <c r="B80" s="26" t="inlineStr">
        <is>
          <t>יח'</t>
        </is>
      </c>
      <c r="C80" s="27" t="n">
        <v>3</v>
      </c>
      <c r="D80" s="28" t="n">
        <v>16000</v>
      </c>
      <c r="E80" s="29">
        <f>C80*D80</f>
        <v/>
      </c>
      <c r="F80" s="29">
        <f>E80*'סיכום'!$B$5</f>
        <v/>
      </c>
      <c r="G80" s="30">
        <f>E80+F80</f>
        <v/>
      </c>
      <c r="H80" s="28" t="n">
        <v>0</v>
      </c>
      <c r="I80" s="13">
        <f>G80-H80</f>
        <v/>
      </c>
      <c r="J80" s="14">
        <f>IF(G80&gt;0,H80/G80,0)</f>
        <v/>
      </c>
      <c r="K80" s="31" t="inlineStr"/>
    </row>
    <row r="81">
      <c r="A81" s="12" t="inlineStr">
        <is>
          <t>דלתות פנים</t>
        </is>
      </c>
      <c r="B81" s="26" t="inlineStr">
        <is>
          <t>יח'</t>
        </is>
      </c>
      <c r="C81" s="27" t="n">
        <v>8</v>
      </c>
      <c r="D81" s="28" t="n">
        <v>2600</v>
      </c>
      <c r="E81" s="29">
        <f>C81*D81</f>
        <v/>
      </c>
      <c r="F81" s="29">
        <f>E81*'סיכום'!$B$5</f>
        <v/>
      </c>
      <c r="G81" s="30">
        <f>E81+F81</f>
        <v/>
      </c>
      <c r="H81" s="28" t="n">
        <v>0</v>
      </c>
      <c r="I81" s="13">
        <f>G81-H81</f>
        <v/>
      </c>
      <c r="J81" s="14">
        <f>IF(G81&gt;0,H81/G81,0)</f>
        <v/>
      </c>
      <c r="K81" s="31" t="inlineStr"/>
    </row>
    <row r="82">
      <c r="A82" s="12" t="inlineStr">
        <is>
          <t>נגרות פנים / ארונות קיר / ספריות</t>
        </is>
      </c>
      <c r="B82" s="26" t="inlineStr">
        <is>
          <t>קומפלט</t>
        </is>
      </c>
      <c r="C82" s="27" t="n">
        <v>1</v>
      </c>
      <c r="D82" s="28" t="n">
        <v>45000</v>
      </c>
      <c r="E82" s="29">
        <f>C82*D82</f>
        <v/>
      </c>
      <c r="F82" s="29">
        <f>E82*'סיכום'!$B$5</f>
        <v/>
      </c>
      <c r="G82" s="30">
        <f>E82+F82</f>
        <v/>
      </c>
      <c r="H82" s="28" t="n">
        <v>0</v>
      </c>
      <c r="I82" s="13">
        <f>G82-H82</f>
        <v/>
      </c>
      <c r="J82" s="14">
        <f>IF(G82&gt;0,H82/G82,0)</f>
        <v/>
      </c>
      <c r="K82" s="31" t="inlineStr"/>
    </row>
    <row r="83">
      <c r="A83" s="12" t="inlineStr">
        <is>
          <t>מערכת גבס, תקרות וניסור</t>
        </is>
      </c>
      <c r="B83" s="26" t="inlineStr">
        <is>
          <t>מ"ר</t>
        </is>
      </c>
      <c r="C83" s="26">
        <f>'סיכום'!$B$4</f>
        <v/>
      </c>
      <c r="D83" s="28" t="n">
        <v>130</v>
      </c>
      <c r="E83" s="29">
        <f>C83*D83</f>
        <v/>
      </c>
      <c r="F83" s="29">
        <f>E83*'סיכום'!$B$5</f>
        <v/>
      </c>
      <c r="G83" s="30">
        <f>E83+F83</f>
        <v/>
      </c>
      <c r="H83" s="28" t="n">
        <v>0</v>
      </c>
      <c r="I83" s="13">
        <f>G83-H83</f>
        <v/>
      </c>
      <c r="J83" s="14">
        <f>IF(G83&gt;0,H83/G83,0)</f>
        <v/>
      </c>
      <c r="K83" s="31" t="inlineStr"/>
    </row>
    <row r="84">
      <c r="A84" s="12" t="inlineStr">
        <is>
          <t>גופי תאורה</t>
        </is>
      </c>
      <c r="B84" s="26" t="inlineStr">
        <is>
          <t>קומפלט</t>
        </is>
      </c>
      <c r="C84" s="27" t="n">
        <v>1</v>
      </c>
      <c r="D84" s="28" t="n">
        <v>22000</v>
      </c>
      <c r="E84" s="29">
        <f>C84*D84</f>
        <v/>
      </c>
      <c r="F84" s="29">
        <f>E84*'סיכום'!$B$5</f>
        <v/>
      </c>
      <c r="G84" s="30">
        <f>E84+F84</f>
        <v/>
      </c>
      <c r="H84" s="28" t="n">
        <v>0</v>
      </c>
      <c r="I84" s="13">
        <f>G84-H84</f>
        <v/>
      </c>
      <c r="J84" s="14">
        <f>IF(G84&gt;0,H84/G84,0)</f>
        <v/>
      </c>
      <c r="K84" s="31" t="inlineStr"/>
    </row>
    <row r="85">
      <c r="A85" s="32" t="inlineStr">
        <is>
          <t>סה"כ 11. גמרים פנימיים</t>
        </is>
      </c>
      <c r="B85" s="33" t="n"/>
      <c r="C85" s="33" t="n"/>
      <c r="D85" s="33" t="n"/>
      <c r="E85" s="34">
        <f>SUM(E79:E84)</f>
        <v/>
      </c>
      <c r="F85" s="34">
        <f>SUM(F79:F84)</f>
        <v/>
      </c>
      <c r="G85" s="34">
        <f>SUM(G79:G84)</f>
        <v/>
      </c>
      <c r="H85" s="34">
        <f>SUM(H79:H84)</f>
        <v/>
      </c>
      <c r="I85" s="34">
        <f>SUM(I79:I84)</f>
        <v/>
      </c>
      <c r="J85" s="35">
        <f>IF(G85&gt;0,H85/G85,0)</f>
        <v/>
      </c>
      <c r="K85" s="36" t="inlineStr"/>
    </row>
    <row r="86">
      <c r="A86" s="3" t="inlineStr"/>
    </row>
    <row r="87" ht="20" customHeight="1">
      <c r="A87" s="6" t="inlineStr">
        <is>
          <t>12. עבודות חוץ ופיתוח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12" t="inlineStr">
        <is>
          <t>גינון, דשא והשקיה</t>
        </is>
      </c>
      <c r="B88" s="26" t="inlineStr">
        <is>
          <t>מ"ר</t>
        </is>
      </c>
      <c r="C88" s="27" t="n">
        <v>220</v>
      </c>
      <c r="D88" s="28" t="n">
        <v>180</v>
      </c>
      <c r="E88" s="29">
        <f>C88*D88</f>
        <v/>
      </c>
      <c r="F88" s="29">
        <f>E88*'סיכום'!$B$5</f>
        <v/>
      </c>
      <c r="G88" s="30">
        <f>E88+F88</f>
        <v/>
      </c>
      <c r="H88" s="28" t="n">
        <v>0</v>
      </c>
      <c r="I88" s="13">
        <f>G88-H88</f>
        <v/>
      </c>
      <c r="J88" s="14">
        <f>IF(G88&gt;0,H88/G88,0)</f>
        <v/>
      </c>
      <c r="K88" s="31" t="inlineStr"/>
    </row>
    <row r="89">
      <c r="A89" s="12" t="inlineStr">
        <is>
          <t>ריצוף חצר, חניה ושבילים</t>
        </is>
      </c>
      <c r="B89" s="26" t="inlineStr">
        <is>
          <t>מ"ר</t>
        </is>
      </c>
      <c r="C89" s="27" t="n">
        <v>160</v>
      </c>
      <c r="D89" s="28" t="n">
        <v>260</v>
      </c>
      <c r="E89" s="29">
        <f>C89*D89</f>
        <v/>
      </c>
      <c r="F89" s="29">
        <f>E89*'סיכום'!$B$5</f>
        <v/>
      </c>
      <c r="G89" s="30">
        <f>E89+F89</f>
        <v/>
      </c>
      <c r="H89" s="28" t="n">
        <v>0</v>
      </c>
      <c r="I89" s="13">
        <f>G89-H89</f>
        <v/>
      </c>
      <c r="J89" s="14">
        <f>IF(G89&gt;0,H89/G89,0)</f>
        <v/>
      </c>
      <c r="K89" s="31" t="inlineStr"/>
    </row>
    <row r="90">
      <c r="A90" s="12" t="inlineStr">
        <is>
          <t>גדר, שער ומעקות חוץ</t>
        </is>
      </c>
      <c r="B90" s="26" t="inlineStr">
        <is>
          <t>מ"ר</t>
        </is>
      </c>
      <c r="C90" s="27" t="n">
        <v>55</v>
      </c>
      <c r="D90" s="28" t="n">
        <v>620</v>
      </c>
      <c r="E90" s="29">
        <f>C90*D90</f>
        <v/>
      </c>
      <c r="F90" s="29">
        <f>E90*'סיכום'!$B$5</f>
        <v/>
      </c>
      <c r="G90" s="30">
        <f>E90+F90</f>
        <v/>
      </c>
      <c r="H90" s="28" t="n">
        <v>0</v>
      </c>
      <c r="I90" s="13">
        <f>G90-H90</f>
        <v/>
      </c>
      <c r="J90" s="14">
        <f>IF(G90&gt;0,H90/G90,0)</f>
        <v/>
      </c>
      <c r="K90" s="31" t="inlineStr"/>
    </row>
    <row r="91">
      <c r="A91" s="12" t="inlineStr">
        <is>
          <t>בריכה / ג'קוזי / אקסטרות</t>
        </is>
      </c>
      <c r="B91" s="26" t="inlineStr">
        <is>
          <t>קומפלט</t>
        </is>
      </c>
      <c r="C91" s="27" t="n">
        <v>1</v>
      </c>
      <c r="D91" s="28" t="n">
        <v>0</v>
      </c>
      <c r="E91" s="29">
        <f>C91*D91</f>
        <v/>
      </c>
      <c r="F91" s="29">
        <f>E91*'סיכום'!$B$5</f>
        <v/>
      </c>
      <c r="G91" s="30">
        <f>E91+F91</f>
        <v/>
      </c>
      <c r="H91" s="28" t="n">
        <v>0</v>
      </c>
      <c r="I91" s="13">
        <f>G91-H91</f>
        <v/>
      </c>
      <c r="J91" s="14">
        <f>IF(G91&gt;0,H91/G91,0)</f>
        <v/>
      </c>
      <c r="K91" s="31" t="inlineStr">
        <is>
          <t>אופציונלי</t>
        </is>
      </c>
    </row>
    <row r="92">
      <c r="A92" s="12" t="inlineStr">
        <is>
          <t>מחסן / פרגולת רכב</t>
        </is>
      </c>
      <c r="B92" s="26" t="inlineStr">
        <is>
          <t>קומפלט</t>
        </is>
      </c>
      <c r="C92" s="27" t="n">
        <v>1</v>
      </c>
      <c r="D92" s="28" t="n">
        <v>25000</v>
      </c>
      <c r="E92" s="29">
        <f>C92*D92</f>
        <v/>
      </c>
      <c r="F92" s="29">
        <f>E92*'סיכום'!$B$5</f>
        <v/>
      </c>
      <c r="G92" s="30">
        <f>E92+F92</f>
        <v/>
      </c>
      <c r="H92" s="28" t="n">
        <v>0</v>
      </c>
      <c r="I92" s="13">
        <f>G92-H92</f>
        <v/>
      </c>
      <c r="J92" s="14">
        <f>IF(G92&gt;0,H92/G92,0)</f>
        <v/>
      </c>
      <c r="K92" s="31" t="inlineStr"/>
    </row>
    <row r="93">
      <c r="A93" s="32" t="inlineStr">
        <is>
          <t>סה"כ 12. עבודות חוץ ופיתוח</t>
        </is>
      </c>
      <c r="B93" s="33" t="n"/>
      <c r="C93" s="33" t="n"/>
      <c r="D93" s="33" t="n"/>
      <c r="E93" s="34">
        <f>SUM(E88:E92)</f>
        <v/>
      </c>
      <c r="F93" s="34">
        <f>SUM(F88:F92)</f>
        <v/>
      </c>
      <c r="G93" s="34">
        <f>SUM(G88:G92)</f>
        <v/>
      </c>
      <c r="H93" s="34">
        <f>SUM(H88:H92)</f>
        <v/>
      </c>
      <c r="I93" s="34">
        <f>SUM(I88:I92)</f>
        <v/>
      </c>
      <c r="J93" s="35">
        <f>IF(G93&gt;0,H93/G93,0)</f>
        <v/>
      </c>
      <c r="K93" s="36" t="inlineStr"/>
    </row>
    <row r="94">
      <c r="A94" s="3" t="inlineStr"/>
    </row>
    <row r="95" ht="20" customHeight="1">
      <c r="A95" s="6" t="inlineStr">
        <is>
          <t>13. ניהול, הובלה ובלת"מ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12" t="inlineStr">
        <is>
          <t>הובלה, התארגנות וניקיון אתר</t>
        </is>
      </c>
      <c r="B96" s="26" t="inlineStr">
        <is>
          <t>קומפלט</t>
        </is>
      </c>
      <c r="C96" s="27" t="n">
        <v>1</v>
      </c>
      <c r="D96" s="28" t="n">
        <v>16000</v>
      </c>
      <c r="E96" s="29">
        <f>C96*D96</f>
        <v/>
      </c>
      <c r="F96" s="29">
        <f>E96*'סיכום'!$B$5</f>
        <v/>
      </c>
      <c r="G96" s="30">
        <f>E96+F96</f>
        <v/>
      </c>
      <c r="H96" s="28" t="n">
        <v>0</v>
      </c>
      <c r="I96" s="13">
        <f>G96-H96</f>
        <v/>
      </c>
      <c r="J96" s="14">
        <f>IF(G96&gt;0,H96/G96,0)</f>
        <v/>
      </c>
      <c r="K96" s="31" t="inlineStr"/>
    </row>
    <row r="97">
      <c r="A97" s="12" t="inlineStr">
        <is>
          <t>ביטוח עבודות קבלניות</t>
        </is>
      </c>
      <c r="B97" s="26" t="inlineStr">
        <is>
          <t>קומפלט</t>
        </is>
      </c>
      <c r="C97" s="27" t="n">
        <v>1</v>
      </c>
      <c r="D97" s="28" t="n">
        <v>8000</v>
      </c>
      <c r="E97" s="29">
        <f>C97*D97</f>
        <v/>
      </c>
      <c r="F97" s="29">
        <f>E97*'סיכום'!$B$5</f>
        <v/>
      </c>
      <c r="G97" s="30">
        <f>E97+F97</f>
        <v/>
      </c>
      <c r="H97" s="28" t="n">
        <v>0</v>
      </c>
      <c r="I97" s="13">
        <f>G97-H97</f>
        <v/>
      </c>
      <c r="J97" s="14">
        <f>IF(G97&gt;0,H97/G97,0)</f>
        <v/>
      </c>
      <c r="K97" s="31" t="inlineStr"/>
    </row>
    <row r="98">
      <c r="A98" s="12" t="inlineStr">
        <is>
          <t>אגרות, אישורי אכלוס וטופס 4</t>
        </is>
      </c>
      <c r="B98" s="26" t="inlineStr">
        <is>
          <t>קומפלט</t>
        </is>
      </c>
      <c r="C98" s="27" t="n">
        <v>1</v>
      </c>
      <c r="D98" s="28" t="n">
        <v>12000</v>
      </c>
      <c r="E98" s="29">
        <f>C98*D98</f>
        <v/>
      </c>
      <c r="F98" s="29">
        <f>E98*'סיכום'!$B$5</f>
        <v/>
      </c>
      <c r="G98" s="30">
        <f>E98+F98</f>
        <v/>
      </c>
      <c r="H98" s="28" t="n">
        <v>0</v>
      </c>
      <c r="I98" s="13">
        <f>G98-H98</f>
        <v/>
      </c>
      <c r="J98" s="14">
        <f>IF(G98&gt;0,H98/G98,0)</f>
        <v/>
      </c>
      <c r="K98" s="31" t="inlineStr"/>
    </row>
    <row r="99">
      <c r="A99" s="12" t="inlineStr">
        <is>
          <t>ריהוט והתאמות לאחר אכלוס</t>
        </is>
      </c>
      <c r="B99" s="26" t="inlineStr">
        <is>
          <t>קומפלט</t>
        </is>
      </c>
      <c r="C99" s="27" t="n">
        <v>1</v>
      </c>
      <c r="D99" s="28" t="n">
        <v>60000</v>
      </c>
      <c r="E99" s="29">
        <f>C99*D99</f>
        <v/>
      </c>
      <c r="F99" s="29">
        <f>E99*'סיכום'!$B$5</f>
        <v/>
      </c>
      <c r="G99" s="30">
        <f>E99+F99</f>
        <v/>
      </c>
      <c r="H99" s="28" t="n">
        <v>0</v>
      </c>
      <c r="I99" s="13">
        <f>G99-H99</f>
        <v/>
      </c>
      <c r="J99" s="14">
        <f>IF(G99&gt;0,H99/G99,0)</f>
        <v/>
      </c>
      <c r="K99" s="31" t="inlineStr"/>
    </row>
    <row r="100">
      <c r="A100" s="12" t="inlineStr">
        <is>
          <t>רזרבה לבלת"מ (בלתי-צפוי)</t>
        </is>
      </c>
      <c r="B100" s="26" t="inlineStr">
        <is>
          <t>קומפלט</t>
        </is>
      </c>
      <c r="C100" s="27" t="n">
        <v>1</v>
      </c>
      <c r="D100" s="28" t="n">
        <v>130000</v>
      </c>
      <c r="E100" s="29">
        <f>C100*D100</f>
        <v/>
      </c>
      <c r="F100" s="29">
        <f>E100*'סיכום'!$B$5</f>
        <v/>
      </c>
      <c r="G100" s="30">
        <f>E100+F100</f>
        <v/>
      </c>
      <c r="H100" s="28" t="n">
        <v>0</v>
      </c>
      <c r="I100" s="13">
        <f>G100-H100</f>
        <v/>
      </c>
      <c r="J100" s="14">
        <f>IF(G100&gt;0,H100/G100,0)</f>
        <v/>
      </c>
      <c r="K100" s="31" t="inlineStr">
        <is>
          <t>מומלץ 8%-12% מעלות הבנייה</t>
        </is>
      </c>
    </row>
    <row r="101">
      <c r="A101" s="32" t="inlineStr">
        <is>
          <t>סה"כ 13. ניהול, הובלה ובלת"מ</t>
        </is>
      </c>
      <c r="B101" s="33" t="n"/>
      <c r="C101" s="33" t="n"/>
      <c r="D101" s="33" t="n"/>
      <c r="E101" s="34">
        <f>SUM(E96:E100)</f>
        <v/>
      </c>
      <c r="F101" s="34">
        <f>SUM(F96:F100)</f>
        <v/>
      </c>
      <c r="G101" s="34">
        <f>SUM(G96:G100)</f>
        <v/>
      </c>
      <c r="H101" s="34">
        <f>SUM(H96:H100)</f>
        <v/>
      </c>
      <c r="I101" s="34">
        <f>SUM(I96:I100)</f>
        <v/>
      </c>
      <c r="J101" s="35">
        <f>IF(G101&gt;0,H101/G101,0)</f>
        <v/>
      </c>
      <c r="K101" s="36" t="inlineStr"/>
    </row>
    <row r="102">
      <c r="A102" s="3" t="inlineStr"/>
    </row>
    <row r="103" ht="24" customHeight="1">
      <c r="A103" s="37" t="inlineStr">
        <is>
          <t>סה"כ כללי לפרויקט (כולל מע"מ)</t>
        </is>
      </c>
      <c r="B103" s="2" t="n"/>
      <c r="C103" s="2" t="n"/>
      <c r="D103" s="2" t="n"/>
      <c r="E103" s="38">
        <f>E11+E21+E28+E36+E43+E49+E56+E63+E68+E76+E85+E93+E101</f>
        <v/>
      </c>
      <c r="F103" s="38">
        <f>F11+F21+F28+F36+F43+F49+F56+F63+F68+F76+F85+F93+F101</f>
        <v/>
      </c>
      <c r="G103" s="38">
        <f>G11+G21+G28+G36+G43+G49+G56+G63+G68+G76+G85+G93+G101</f>
        <v/>
      </c>
      <c r="H103" s="38">
        <f>H11+H21+H28+H36+H43+H49+H56+H63+H68+H76+H85+H93+H101</f>
        <v/>
      </c>
      <c r="I103" s="38">
        <f>I11+I21+I28+I36+I43+I49+I56+I63+I68+I76+I85+I93+I101</f>
        <v/>
      </c>
      <c r="J103" s="39">
        <f>IF(G103&gt;0,H103/G103,0)</f>
        <v/>
      </c>
      <c r="K103" s="40" t="inlineStr"/>
    </row>
  </sheetData>
  <mergeCells count="29">
    <mergeCell ref="A58:K58"/>
    <mergeCell ref="A30:K30"/>
    <mergeCell ref="A51:K51"/>
    <mergeCell ref="A43:D43"/>
    <mergeCell ref="A63:D63"/>
    <mergeCell ref="A28:D28"/>
    <mergeCell ref="A45:K45"/>
    <mergeCell ref="A1:K1"/>
    <mergeCell ref="A68:D68"/>
    <mergeCell ref="A70:K70"/>
    <mergeCell ref="A93:D93"/>
    <mergeCell ref="A78:K78"/>
    <mergeCell ref="A87:K87"/>
    <mergeCell ref="A65:K65"/>
    <mergeCell ref="A49:D49"/>
    <mergeCell ref="A11:D11"/>
    <mergeCell ref="A36:D36"/>
    <mergeCell ref="A103:D103"/>
    <mergeCell ref="A95:K95"/>
    <mergeCell ref="A2:K2"/>
    <mergeCell ref="A5:K5"/>
    <mergeCell ref="A23:K23"/>
    <mergeCell ref="A56:D56"/>
    <mergeCell ref="A101:D101"/>
    <mergeCell ref="A21:D21"/>
    <mergeCell ref="A38:K38"/>
    <mergeCell ref="A13:K13"/>
    <mergeCell ref="A85:D85"/>
    <mergeCell ref="A76:D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E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8" customWidth="1" min="3" max="3"/>
    <col width="18" customWidth="1" min="4" max="4"/>
    <col width="18" customWidth="1" min="5" max="5"/>
    <col width="4" customWidth="1" min="6" max="6"/>
  </cols>
  <sheetData>
    <row r="1" ht="26" customHeight="1">
      <c r="A1" s="1" t="inlineStr">
        <is>
          <t>מימון ותזרים מזומנים</t>
        </is>
      </c>
      <c r="B1" s="2" t="n"/>
      <c r="C1" s="2" t="n"/>
      <c r="D1" s="2" t="n"/>
      <c r="E1" s="2" t="n"/>
    </row>
    <row r="3">
      <c r="A3" s="6" t="inlineStr">
        <is>
          <t>מקורות מימון</t>
        </is>
      </c>
      <c r="B3" s="7" t="n"/>
      <c r="C3" s="7" t="n"/>
    </row>
    <row r="4">
      <c r="A4" s="41" t="inlineStr">
        <is>
          <t>מקור</t>
        </is>
      </c>
      <c r="B4" s="41" t="inlineStr">
        <is>
          <t>סכום</t>
        </is>
      </c>
      <c r="C4" s="42" t="n"/>
    </row>
    <row r="5">
      <c r="A5" s="12" t="inlineStr">
        <is>
          <t>הון עצמי / חיסכון</t>
        </is>
      </c>
      <c r="B5" s="28" t="n">
        <v>0</v>
      </c>
      <c r="C5" s="43" t="n"/>
    </row>
    <row r="6">
      <c r="A6" s="12" t="inlineStr">
        <is>
          <t>משכנתא</t>
        </is>
      </c>
      <c r="B6" s="28" t="n">
        <v>0</v>
      </c>
      <c r="C6" s="43" t="n"/>
    </row>
    <row r="7">
      <c r="A7" s="12" t="inlineStr">
        <is>
          <t>הלוואת גישור / משלימה</t>
        </is>
      </c>
      <c r="B7" s="28" t="n">
        <v>0</v>
      </c>
      <c r="C7" s="43" t="n"/>
    </row>
    <row r="8">
      <c r="A8" s="12" t="inlineStr">
        <is>
          <t>מענקים / סיוע / מתנה</t>
        </is>
      </c>
      <c r="B8" s="28" t="n">
        <v>0</v>
      </c>
      <c r="C8" s="43" t="n"/>
    </row>
    <row r="9">
      <c r="A9" s="12" t="inlineStr">
        <is>
          <t>מקורות נוספים</t>
        </is>
      </c>
      <c r="B9" s="28" t="n">
        <v>0</v>
      </c>
      <c r="C9" s="43" t="n"/>
    </row>
    <row r="10">
      <c r="A10" s="15" t="inlineStr">
        <is>
          <t>סה"כ מקורות מימון</t>
        </is>
      </c>
      <c r="B10" s="16">
        <f>SUM(B5:B9)</f>
        <v/>
      </c>
      <c r="C10" s="2" t="n"/>
    </row>
    <row r="12">
      <c r="A12" s="6" t="inlineStr">
        <is>
          <t>בדיקת איזון תקציב מול מימון</t>
        </is>
      </c>
      <c r="B12" s="7" t="n"/>
      <c r="C12" s="7" t="n"/>
    </row>
    <row r="13">
      <c r="A13" s="18" t="inlineStr">
        <is>
          <t>סה"כ תקציב הפרויקט</t>
        </is>
      </c>
      <c r="B13" s="30">
        <f>'סיכום'!$B$23</f>
        <v/>
      </c>
      <c r="C13" s="19" t="n"/>
    </row>
    <row r="14">
      <c r="A14" s="18" t="inlineStr">
        <is>
          <t>סה"כ מקורות מימון</t>
        </is>
      </c>
      <c r="B14" s="30">
        <f>B10</f>
        <v/>
      </c>
      <c r="C14" s="19" t="n"/>
    </row>
    <row r="15">
      <c r="A15" s="44" t="inlineStr">
        <is>
          <t>פער (עודף / גירעון)</t>
        </is>
      </c>
      <c r="B15" s="45">
        <f>B14-B13</f>
        <v/>
      </c>
      <c r="C15" s="46" t="n"/>
    </row>
    <row r="17">
      <c r="A17" s="6" t="inlineStr">
        <is>
          <t>תזרים מזומנים חודשי (תבנית ל-18 חודשים)</t>
        </is>
      </c>
      <c r="B17" s="7" t="n"/>
      <c r="C17" s="7" t="n"/>
      <c r="D17" s="7" t="n"/>
      <c r="E17" s="7" t="n"/>
    </row>
    <row r="18">
      <c r="A18" s="41" t="inlineStr">
        <is>
          <t>חודש</t>
        </is>
      </c>
      <c r="B18" s="41" t="inlineStr">
        <is>
          <t>שלב עיקרי</t>
        </is>
      </c>
      <c r="C18" s="41" t="inlineStr">
        <is>
          <t>תשלום מתוכנן</t>
        </is>
      </c>
      <c r="D18" s="41" t="inlineStr">
        <is>
          <t>תשלום בפועל</t>
        </is>
      </c>
      <c r="E18" s="41" t="inlineStr">
        <is>
          <t>מצטבר בפועל</t>
        </is>
      </c>
    </row>
    <row r="19">
      <c r="A19" s="47" t="n">
        <v>1</v>
      </c>
      <c r="B19" s="12" t="inlineStr">
        <is>
          <t>היתרים, אגרות וחיבורי תשתית</t>
        </is>
      </c>
      <c r="C19" s="28" t="n">
        <v>0</v>
      </c>
      <c r="D19" s="28" t="n">
        <v>0</v>
      </c>
      <c r="E19" s="29">
        <f>D19</f>
        <v/>
      </c>
    </row>
    <row r="20">
      <c r="A20" s="47" t="n">
        <v>2</v>
      </c>
      <c r="B20" s="12" t="inlineStr">
        <is>
          <t>עבודות עפר ויסודות</t>
        </is>
      </c>
      <c r="C20" s="28" t="n">
        <v>0</v>
      </c>
      <c r="D20" s="28" t="n">
        <v>0</v>
      </c>
      <c r="E20" s="29">
        <f>E19+D20</f>
        <v/>
      </c>
    </row>
    <row r="21">
      <c r="A21" s="47" t="n">
        <v>3</v>
      </c>
      <c r="B21" s="12" t="inlineStr">
        <is>
          <t>יסודות ותחילת שלד</t>
        </is>
      </c>
      <c r="C21" s="28" t="n">
        <v>0</v>
      </c>
      <c r="D21" s="28" t="n">
        <v>0</v>
      </c>
      <c r="E21" s="29">
        <f>E20+D21</f>
        <v/>
      </c>
    </row>
    <row r="22">
      <c r="A22" s="47" t="n">
        <v>4</v>
      </c>
      <c r="B22" s="12" t="inlineStr">
        <is>
          <t>שלד בטון</t>
        </is>
      </c>
      <c r="C22" s="28" t="n">
        <v>0</v>
      </c>
      <c r="D22" s="28" t="n">
        <v>0</v>
      </c>
      <c r="E22" s="29">
        <f>E21+D22</f>
        <v/>
      </c>
    </row>
    <row r="23">
      <c r="A23" s="47" t="n">
        <v>5</v>
      </c>
      <c r="B23" s="12" t="inlineStr">
        <is>
          <t>שלד וגג</t>
        </is>
      </c>
      <c r="C23" s="28" t="n">
        <v>0</v>
      </c>
      <c r="D23" s="28" t="n">
        <v>0</v>
      </c>
      <c r="E23" s="29">
        <f>E22+D23</f>
        <v/>
      </c>
    </row>
    <row r="24">
      <c r="A24" s="47" t="n">
        <v>6</v>
      </c>
      <c r="B24" s="12" t="inlineStr">
        <is>
          <t>בנייה ומעטפת</t>
        </is>
      </c>
      <c r="C24" s="28" t="n">
        <v>0</v>
      </c>
      <c r="D24" s="28" t="n">
        <v>0</v>
      </c>
      <c r="E24" s="29">
        <f>E23+D24</f>
        <v/>
      </c>
    </row>
    <row r="25">
      <c r="A25" s="47" t="n">
        <v>7</v>
      </c>
      <c r="B25" s="12" t="inlineStr">
        <is>
          <t>איטום ובידוד</t>
        </is>
      </c>
      <c r="C25" s="28" t="n">
        <v>0</v>
      </c>
      <c r="D25" s="28" t="n">
        <v>0</v>
      </c>
      <c r="E25" s="29">
        <f>E24+D25</f>
        <v/>
      </c>
    </row>
    <row r="26">
      <c r="A26" s="47" t="n">
        <v>8</v>
      </c>
      <c r="B26" s="12" t="inlineStr">
        <is>
          <t>אינסטלציה וחשמל גס</t>
        </is>
      </c>
      <c r="C26" s="28" t="n">
        <v>0</v>
      </c>
      <c r="D26" s="28" t="n">
        <v>0</v>
      </c>
      <c r="E26" s="29">
        <f>E25+D26</f>
        <v/>
      </c>
    </row>
    <row r="27">
      <c r="A27" s="47" t="n">
        <v>9</v>
      </c>
      <c r="B27" s="12" t="inlineStr">
        <is>
          <t>טיח פנים וחוץ</t>
        </is>
      </c>
      <c r="C27" s="28" t="n">
        <v>0</v>
      </c>
      <c r="D27" s="28" t="n">
        <v>0</v>
      </c>
      <c r="E27" s="29">
        <f>E26+D27</f>
        <v/>
      </c>
    </row>
    <row r="28">
      <c r="A28" s="47" t="n">
        <v>10</v>
      </c>
      <c r="B28" s="12" t="inlineStr">
        <is>
          <t>חלונות ואלומיניום</t>
        </is>
      </c>
      <c r="C28" s="28" t="n">
        <v>0</v>
      </c>
      <c r="D28" s="28" t="n">
        <v>0</v>
      </c>
      <c r="E28" s="29">
        <f>E27+D28</f>
        <v/>
      </c>
    </row>
    <row r="29">
      <c r="A29" s="47" t="n">
        <v>11</v>
      </c>
      <c r="B29" s="12" t="inlineStr">
        <is>
          <t>ריצוף וחיפוי</t>
        </is>
      </c>
      <c r="C29" s="28" t="n">
        <v>0</v>
      </c>
      <c r="D29" s="28" t="n">
        <v>0</v>
      </c>
      <c r="E29" s="29">
        <f>E28+D29</f>
        <v/>
      </c>
    </row>
    <row r="30">
      <c r="A30" s="47" t="n">
        <v>12</v>
      </c>
      <c r="B30" s="12" t="inlineStr">
        <is>
          <t>מיזוג אוויר</t>
        </is>
      </c>
      <c r="C30" s="28" t="n">
        <v>0</v>
      </c>
      <c r="D30" s="28" t="n">
        <v>0</v>
      </c>
      <c r="E30" s="29">
        <f>E29+D30</f>
        <v/>
      </c>
    </row>
    <row r="31">
      <c r="A31" s="47" t="n">
        <v>13</v>
      </c>
      <c r="B31" s="12" t="inlineStr">
        <is>
          <t>גבס, תקרות וצבע</t>
        </is>
      </c>
      <c r="C31" s="28" t="n">
        <v>0</v>
      </c>
      <c r="D31" s="28" t="n">
        <v>0</v>
      </c>
      <c r="E31" s="29">
        <f>E30+D31</f>
        <v/>
      </c>
    </row>
    <row r="32">
      <c r="A32" s="47" t="n">
        <v>14</v>
      </c>
      <c r="B32" s="12" t="inlineStr">
        <is>
          <t>מטבח ונגרות</t>
        </is>
      </c>
      <c r="C32" s="28" t="n">
        <v>0</v>
      </c>
      <c r="D32" s="28" t="n">
        <v>0</v>
      </c>
      <c r="E32" s="29">
        <f>E31+D32</f>
        <v/>
      </c>
    </row>
    <row r="33">
      <c r="A33" s="47" t="n">
        <v>15</v>
      </c>
      <c r="B33" s="12" t="inlineStr">
        <is>
          <t>כלים סניטריים וחשמל סופי</t>
        </is>
      </c>
      <c r="C33" s="28" t="n">
        <v>0</v>
      </c>
      <c r="D33" s="28" t="n">
        <v>0</v>
      </c>
      <c r="E33" s="29">
        <f>E32+D33</f>
        <v/>
      </c>
    </row>
    <row r="34">
      <c r="A34" s="47" t="n">
        <v>16</v>
      </c>
      <c r="B34" s="12" t="inlineStr">
        <is>
          <t>דלתות פנים וגמרים</t>
        </is>
      </c>
      <c r="C34" s="28" t="n">
        <v>0</v>
      </c>
      <c r="D34" s="28" t="n">
        <v>0</v>
      </c>
      <c r="E34" s="29">
        <f>E33+D34</f>
        <v/>
      </c>
    </row>
    <row r="35">
      <c r="A35" s="47" t="n">
        <v>17</v>
      </c>
      <c r="B35" s="12" t="inlineStr">
        <is>
          <t>פיתוח חוץ וגינון</t>
        </is>
      </c>
      <c r="C35" s="28" t="n">
        <v>0</v>
      </c>
      <c r="D35" s="28" t="n">
        <v>0</v>
      </c>
      <c r="E35" s="29">
        <f>E34+D35</f>
        <v/>
      </c>
    </row>
    <row r="36">
      <c r="A36" s="47" t="n">
        <v>18</v>
      </c>
      <c r="B36" s="12" t="inlineStr">
        <is>
          <t>ניקיון, טופס 4 ומסירה</t>
        </is>
      </c>
      <c r="C36" s="28" t="n">
        <v>0</v>
      </c>
      <c r="D36" s="28" t="n">
        <v>0</v>
      </c>
      <c r="E36" s="29">
        <f>E35+D36</f>
        <v/>
      </c>
    </row>
    <row r="37">
      <c r="A37" s="40" t="inlineStr"/>
      <c r="B37" s="48" t="inlineStr">
        <is>
          <t>סה"כ</t>
        </is>
      </c>
      <c r="C37" s="49">
        <f>SUM(C19:C36)</f>
        <v/>
      </c>
      <c r="D37" s="49">
        <f>SUM(D19:D36)</f>
        <v/>
      </c>
      <c r="E37" s="49">
        <f>E36</f>
        <v/>
      </c>
    </row>
  </sheetData>
  <mergeCells count="14">
    <mergeCell ref="B13:C13"/>
    <mergeCell ref="B6:C6"/>
    <mergeCell ref="B15:C15"/>
    <mergeCell ref="B7:C7"/>
    <mergeCell ref="B5:C5"/>
    <mergeCell ref="A12:C12"/>
    <mergeCell ref="B10:C10"/>
    <mergeCell ref="A1:E1"/>
    <mergeCell ref="A3:C3"/>
    <mergeCell ref="B14:C14"/>
    <mergeCell ref="B9:C9"/>
    <mergeCell ref="B8:C8"/>
    <mergeCell ref="A17:E1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2026-05-14T15:00:53Z</dcterms:created>
  <dcterms:modified xsi:type="dcterms:W3CDTF">2026-05-14T15:00:54Z</dcterms:modified>
</cp:coreProperties>
</file>